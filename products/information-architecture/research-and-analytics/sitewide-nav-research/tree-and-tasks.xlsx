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vagov-my.sharepoint.com/personal/michelle_northuis_va_gov/Documents/Desktop/"/>
    </mc:Choice>
  </mc:AlternateContent>
  <xr:revisionPtr revIDLastSave="7" documentId="8_{B0BB7BF9-A0B6-45E5-9EBC-4D6AF7AF3ADC}" xr6:coauthVersionLast="47" xr6:coauthVersionMax="47" xr10:uidLastSave="{B204D08C-B0F5-4DE3-8102-A7E4C4244065}"/>
  <bookViews>
    <workbookView xWindow="57480" yWindow="-120" windowWidth="29040" windowHeight="15720" firstSheet="1" activeTab="2" xr2:uid="{00000000-000D-0000-FFFF-FFFF00000000}"/>
  </bookViews>
  <sheets>
    <sheet name="Sheet1" sheetId="9" r:id="rId1"/>
    <sheet name="2026 Sitewide nav (tasks)" sheetId="7" r:id="rId2"/>
    <sheet name="2026 Sitewid nav (tree)"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x4BnH+MLsg2QQq3eS2vnkiYvcNWVIWcDiMwk9NX1arM="/>
    </ext>
  </extLst>
</workbook>
</file>

<file path=xl/calcChain.xml><?xml version="1.0" encoding="utf-8"?>
<calcChain xmlns="http://schemas.openxmlformats.org/spreadsheetml/2006/main">
  <c r="D8" i="7" l="1"/>
  <c r="D26" i="7"/>
  <c r="D21" i="7"/>
  <c r="D6" i="7"/>
  <c r="D20" i="7"/>
  <c r="D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tc={AC6B9EFA-7BB4-40FC-85FC-B7C2DBA4CEAA}</author>
  </authors>
  <commentList>
    <comment ref="D1" authorId="0" shapeId="0" xr:uid="{AC6B9EFA-7BB4-40FC-85FC-B7C2DBA4CEAA}">
      <text>
        <t xml:space="preserve">[Threaded comment]
Your version of Excel allows you to read this threaded comment; however, any edits to it will get removed if the file is opened in a newer version of Excel. Learn more: https://go.microsoft.com/fwlink/?linkid=870924
Comment:
    Pulling data for top visited page in a group - i.e. if a child page of rates gets more views than the parent page, the child page views are listed; or if the tool has more views than a landing page, the tool views are listed.  This is because it is not the specific page that matters, it is the general task that matters.    
Also adding together page views when there was a known URL change during the year. </t>
      </text>
    </comment>
  </commentList>
</comments>
</file>

<file path=xl/sharedStrings.xml><?xml version="1.0" encoding="utf-8"?>
<sst xmlns="http://schemas.openxmlformats.org/spreadsheetml/2006/main" count="535" uniqueCount="410">
  <si>
    <t>Tree test decision</t>
  </si>
  <si>
    <t>Do I structure the tree like the IA or the navigation design?</t>
  </si>
  <si>
    <t>View all</t>
  </si>
  <si>
    <t xml:space="preserve">Navigation design adds a click if visitors want to view all. They can select an option from a subset, or view all to get the full menu. The focus would be on the way the navigation organizes options and the paths the visitor must take. </t>
  </si>
  <si>
    <t xml:space="preserve">IA would not include the nav selections to get to view all, it would immediately expose all options under each hub. The focus would be on the organization of information but this isn't how visitors navigate the experience. </t>
  </si>
  <si>
    <t>Spokes</t>
  </si>
  <si>
    <t xml:space="preserve">Navigation design adds the spoke labels but does not require clicking them.  If gives context to the groupings that visitors may see or need, but the test will require them to click these groupings giving some false extra clicks where things would normally be exposed. </t>
  </si>
  <si>
    <t xml:space="preserve">The IA would not include those labels, which would place all content at the same level without any visual groupings.  This would, in theory, make the list of options more challenging to scan and find.  </t>
  </si>
  <si>
    <t>Structure the test like the site navigation if the goal is to test the not only the categorical but also the visual navigation paths on the site work.  This more aligns with click paths.</t>
  </si>
  <si>
    <t xml:space="preserve">Structure the test like the IA if the intention is to focus on the categorization of content and the labels of those categories. This more aligns with back-end taxonomy testing. </t>
  </si>
  <si>
    <t>Task focus</t>
  </si>
  <si>
    <t>Veteran PL Task Phrase</t>
  </si>
  <si>
    <t>2025 page views</t>
  </si>
  <si>
    <t>Top 25 overall task?</t>
  </si>
  <si>
    <t>Hub</t>
  </si>
  <si>
    <t>Top 3 
hub task?</t>
  </si>
  <si>
    <t>Spoke</t>
  </si>
  <si>
    <t>Notes</t>
  </si>
  <si>
    <t>Office</t>
  </si>
  <si>
    <t>Archived?</t>
  </si>
  <si>
    <t>Related research</t>
  </si>
  <si>
    <t>Records</t>
  </si>
  <si>
    <t>Manage</t>
  </si>
  <si>
    <t>Get</t>
  </si>
  <si>
    <t>Service members</t>
  </si>
  <si>
    <t>My VA</t>
  </si>
  <si>
    <t>My HealtheVet</t>
  </si>
  <si>
    <t>Claim status tool</t>
  </si>
  <si>
    <t>Multi/root</t>
  </si>
  <si>
    <t>2020 top tasks analytics - https://github.com/department-of-veterans-affairs/va.gov-team/blob/master/products/information-architecture/research-and-analytics/top-task-analytics-2020.md
2020 Logged-in homepage research - https://github.com/department-of-veterans-affairs/va.gov-team/blob/master/products/identity-personalization/my-va/2.0-redesign/discovery-and-research/user-research/findings-summary.md</t>
  </si>
  <si>
    <t>Resource</t>
  </si>
  <si>
    <t>Payment history</t>
  </si>
  <si>
    <t>You get money from VA to help pay for school.  You want to review a list of all your past payments.</t>
  </si>
  <si>
    <t>VBA</t>
  </si>
  <si>
    <t>Disability rating</t>
  </si>
  <si>
    <t>You got an approval notification from VA for your claim to increase your rating for a service-connected injury. You want to check your new rating.</t>
  </si>
  <si>
    <t>Disability</t>
  </si>
  <si>
    <t>Jesse Cohn (eBenefits Migration)</t>
  </si>
  <si>
    <t>File for disability compensation</t>
  </si>
  <si>
    <t>2018 WBC research summary - https://github.com/department-of-veterans-affairs/va.gov-team/blob/master/products/va-gov-relaunch-2018/user-research/brand-consolidation-research-summary-10-25-2018.pptx</t>
  </si>
  <si>
    <t>Download VA letters</t>
  </si>
  <si>
    <t>You need proof of your VA benefits and need to get a copy of your VA Benefit Summary letter quickly.</t>
  </si>
  <si>
    <t>Compensation rates</t>
  </si>
  <si>
    <t>Appointments</t>
  </si>
  <si>
    <t>Health</t>
  </si>
  <si>
    <t>VHA</t>
  </si>
  <si>
    <t>Travel pay</t>
  </si>
  <si>
    <t>You drove to your health care appointment at VA and want to get paid back for the cost of your gas.</t>
  </si>
  <si>
    <t>2023 Family hub research - https://github.com/department-of-veterans-affairs/va.gov-team/tree/master/products/content/audience-hubs/family-member-hub/research</t>
  </si>
  <si>
    <t>Apply for VA health care</t>
  </si>
  <si>
    <t>You’re a Veteran who wants to enroll in VA health care.</t>
  </si>
  <si>
    <t>2020 top tasks analytics - https://github.com/department-of-veterans-affairs/va.gov-team/blob/master/products/information-architecture/research-and-analytics/top-task-analytics-2020.md</t>
  </si>
  <si>
    <t>Housing</t>
  </si>
  <si>
    <t>How to file for disability</t>
  </si>
  <si>
    <t>Apply for education benefits</t>
  </si>
  <si>
    <t>Education</t>
  </si>
  <si>
    <t>About CHAMPVA</t>
  </si>
  <si>
    <t>Family</t>
  </si>
  <si>
    <t>How to apply for education benefits</t>
  </si>
  <si>
    <t>Apply for DEA</t>
  </si>
  <si>
    <t>Community care</t>
  </si>
  <si>
    <t>VA Dental Insurance Program (VADIP)</t>
  </si>
  <si>
    <t>How to apply</t>
  </si>
  <si>
    <t>Order medical supplies</t>
  </si>
  <si>
    <t>GI Bill comparison tool</t>
  </si>
  <si>
    <t>Request a home loan Certificate of Eligibility (COE)</t>
  </si>
  <si>
    <t>possible task from 2021 research</t>
  </si>
  <si>
    <t>Contact us</t>
  </si>
  <si>
    <t>2021 MHV Patient Portal research - https://github.com/department-of-veterans-affairs/va.gov-team/blob/master/products/health-care/digital-health-modernization/pre-mhv-prototype/generative-research-study-1/OCTO%20health%20research%20report%2022%20Mar%202021.pdf
action-related search queries list (Denise)</t>
  </si>
  <si>
    <t>About VR&amp;E</t>
  </si>
  <si>
    <t>Careers</t>
  </si>
  <si>
    <t>About GI Bill benefits</t>
  </si>
  <si>
    <t>About Aid an Attendance or Housebound Allowance</t>
  </si>
  <si>
    <t>Pension</t>
  </si>
  <si>
    <t>top forms search #8 (21-2680)</t>
  </si>
  <si>
    <t>Your spouse needs health insurance. You want to know if they can get help through VA.</t>
  </si>
  <si>
    <t>About burial allowance</t>
  </si>
  <si>
    <t>Burial</t>
  </si>
  <si>
    <t>Education benefit rates</t>
  </si>
  <si>
    <t>Prescriptions and medications</t>
  </si>
  <si>
    <t>You need to request a refill for a prescription you get from VA by mail.</t>
  </si>
  <si>
    <t>Schedule a burial for a Veteran or family member</t>
  </si>
  <si>
    <t>About disability ratings</t>
  </si>
  <si>
    <t>Dependents</t>
  </si>
  <si>
    <t>You get monthly payments from VA as compensation for a service-connected injury. You recently had a child and you need to tell VA so they can increase your payment amount.</t>
  </si>
  <si>
    <t>"Check your Post-9/11 GI Bill statement of benefits"</t>
  </si>
  <si>
    <t>VA.gov home</t>
  </si>
  <si>
    <t>VA Benefits and Health Care</t>
  </si>
  <si>
    <t>Health care</t>
  </si>
  <si>
    <t>About VA health benefits</t>
  </si>
  <si>
    <t>Eligibility</t>
  </si>
  <si>
    <t>After you apply</t>
  </si>
  <si>
    <t>Foreign Medical Program (FMP)</t>
  </si>
  <si>
    <t>Manage benefits</t>
  </si>
  <si>
    <t>Manage your health care with My HealtheVet</t>
  </si>
  <si>
    <t>Manage health appointments</t>
  </si>
  <si>
    <t>Refill prescriptions and manage medications</t>
  </si>
  <si>
    <t>Review medical records online</t>
  </si>
  <si>
    <t>Send and receive secure messages</t>
  </si>
  <si>
    <t>File for travel pay reimbursement</t>
  </si>
  <si>
    <t>Get a Veteran Health Identification Card (VHIC)</t>
  </si>
  <si>
    <t>Review and pay your VA copay bill</t>
  </si>
  <si>
    <t>Update your VA health benefits information</t>
  </si>
  <si>
    <t>Request a decision review</t>
  </si>
  <si>
    <t>More resources</t>
  </si>
  <si>
    <t>VA mental health services</t>
  </si>
  <si>
    <t>Access and quality in VA health care</t>
  </si>
  <si>
    <t>Patient rights and responsibilities</t>
  </si>
  <si>
    <t>How to file a claim</t>
  </si>
  <si>
    <t>File additional forms for your disability claim</t>
  </si>
  <si>
    <t>File a claim online</t>
  </si>
  <si>
    <t>After you file your claim</t>
  </si>
  <si>
    <t>Check claim, decision review, or appeal status</t>
  </si>
  <si>
    <t>View your disability ratings</t>
  </si>
  <si>
    <t>File for increased disability</t>
  </si>
  <si>
    <t>Add or remove a dependent</t>
  </si>
  <si>
    <t>Upload evidence to support your disability claim</t>
  </si>
  <si>
    <t>Change your address</t>
  </si>
  <si>
    <t>Change your VA direct deposit information</t>
  </si>
  <si>
    <t>Download VA benefit letters</t>
  </si>
  <si>
    <t>View disability payment history</t>
  </si>
  <si>
    <t>Disability compensation rates</t>
  </si>
  <si>
    <t>Get help from an accredited representative</t>
  </si>
  <si>
    <t>VA claim exam (C&amp;P exam)</t>
  </si>
  <si>
    <t>Effective dates</t>
  </si>
  <si>
    <t>Education and training</t>
  </si>
  <si>
    <t>Other VA education benefits</t>
  </si>
  <si>
    <t>View VA payment history</t>
  </si>
  <si>
    <t>Check your remaining Post-9/11 GI Bill benefits</t>
  </si>
  <si>
    <t>Verify your school enrollment</t>
  </si>
  <si>
    <t>Transfer Post-9/11 GI Bill benefits</t>
  </si>
  <si>
    <t>Download your VA education letter</t>
  </si>
  <si>
    <t>Apply to restore GI Bill benefits</t>
  </si>
  <si>
    <t>Find a Yellow Ribbon school</t>
  </si>
  <si>
    <t>Compare VA education benefits</t>
  </si>
  <si>
    <t>Choosing a GI Bill approved school</t>
  </si>
  <si>
    <t>Careers and employment</t>
  </si>
  <si>
    <t>Educational and career counseling</t>
  </si>
  <si>
    <t>Veteran-owned small business support</t>
  </si>
  <si>
    <t>Find a job</t>
  </si>
  <si>
    <t>Find VA careers and support</t>
  </si>
  <si>
    <t>Print Civil Service Preference Letter</t>
  </si>
  <si>
    <t>Subsistence allowance rates</t>
  </si>
  <si>
    <t>Aid and Attendance benefits and Housebound allowance</t>
  </si>
  <si>
    <t>Protected pension rates</t>
  </si>
  <si>
    <t>Housing assistance</t>
  </si>
  <si>
    <t>How to request a COE</t>
  </si>
  <si>
    <t>Request a COE online</t>
  </si>
  <si>
    <t>Check your COE status</t>
  </si>
  <si>
    <t>VA help to avoid foreclosure</t>
  </si>
  <si>
    <t>Buying a home with a VA-backed loan</t>
  </si>
  <si>
    <t>Guidance on natural disasters</t>
  </si>
  <si>
    <t>Disability housing grants</t>
  </si>
  <si>
    <t>Life insurance</t>
  </si>
  <si>
    <t>Access your policy online</t>
  </si>
  <si>
    <t>Search unclaimed insurance funds</t>
  </si>
  <si>
    <t>Publications and handbooks</t>
  </si>
  <si>
    <t>Mandatory electronic payments</t>
  </si>
  <si>
    <t>Burials and memorials</t>
  </si>
  <si>
    <t>Pre-need burial eligiblity determination</t>
  </si>
  <si>
    <t>Memorial items</t>
  </si>
  <si>
    <t>Bereavement counseling</t>
  </si>
  <si>
    <t>Plan a burial</t>
  </si>
  <si>
    <t>Find a cemetery</t>
  </si>
  <si>
    <t>Replace medals, awards, and decorations</t>
  </si>
  <si>
    <t>Download your IRS 1095-B tax form</t>
  </si>
  <si>
    <t>Family and caregivers</t>
  </si>
  <si>
    <t>Request a decision review or manage a legacy appeal</t>
  </si>
  <si>
    <t>Survivors Pension and DIC</t>
  </si>
  <si>
    <t>Survivor and dependent compensation (DIC)</t>
  </si>
  <si>
    <t>Change your direct deposit information</t>
  </si>
  <si>
    <t>Change your address in your VA.gov profile</t>
  </si>
  <si>
    <t>Check your claim, decision review, or appeal status</t>
  </si>
  <si>
    <t>Education and career counseling</t>
  </si>
  <si>
    <t>Change your GI Bill school or program</t>
  </si>
  <si>
    <t>GI Bill Comparison Tool</t>
  </si>
  <si>
    <t>Housing assistance for surviving spouses</t>
  </si>
  <si>
    <t>VA home loan entitlement and limits</t>
  </si>
  <si>
    <t>Life insurance for family members</t>
  </si>
  <si>
    <t>More information and resources</t>
  </si>
  <si>
    <t>Burial and memorial benefis for family members</t>
  </si>
  <si>
    <t>Veterans burial allowance</t>
  </si>
  <si>
    <t>About VA</t>
  </si>
  <si>
    <t>VA organizations</t>
  </si>
  <si>
    <t>Veterans Health Administration</t>
  </si>
  <si>
    <t>Veterans Benefits Administration</t>
  </si>
  <si>
    <t>National Cemetery Administration</t>
  </si>
  <si>
    <t>VA Leadership</t>
  </si>
  <si>
    <t>Public Affairs</t>
  </si>
  <si>
    <t>Congressional Affairs</t>
  </si>
  <si>
    <t>All VA officies and organizations</t>
  </si>
  <si>
    <t>Innovation at VA</t>
  </si>
  <si>
    <t>Health research</t>
  </si>
  <si>
    <t>Public health</t>
  </si>
  <si>
    <t>VA open data</t>
  </si>
  <si>
    <t>Veteran analysis and statistics</t>
  </si>
  <si>
    <t>Appeals moderniation</t>
  </si>
  <si>
    <t>VA Innovation Center</t>
  </si>
  <si>
    <t>Recovery Act</t>
  </si>
  <si>
    <t>Learn about VA</t>
  </si>
  <si>
    <t>History of VA</t>
  </si>
  <si>
    <t>VA plans, budget, finances, and performance</t>
  </si>
  <si>
    <t>National cemetery history program</t>
  </si>
  <si>
    <t>Veterans legacy program</t>
  </si>
  <si>
    <t>Volunteer or donate</t>
  </si>
  <si>
    <t>Find a VA Location</t>
  </si>
  <si>
    <t>VA health</t>
  </si>
  <si>
    <t>Urgent care</t>
  </si>
  <si>
    <t>Emergency care</t>
  </si>
  <si>
    <t>Community providers (in VA's network)</t>
  </si>
  <si>
    <t>Community pharmacies (in VA's network0</t>
  </si>
  <si>
    <t>VA benefits</t>
  </si>
  <si>
    <t>VA cemeteries</t>
  </si>
  <si>
    <t>Vet Centers</t>
  </si>
  <si>
    <t>Claims and appeals</t>
  </si>
  <si>
    <t>Outstanding debts</t>
  </si>
  <si>
    <t>Benefit payments</t>
  </si>
  <si>
    <t>Benefit applications and forms</t>
  </si>
  <si>
    <t>Messages</t>
  </si>
  <si>
    <t>Medications</t>
  </si>
  <si>
    <t>Medical records</t>
  </si>
  <si>
    <t>Payments</t>
  </si>
  <si>
    <t>Medical supplies</t>
  </si>
  <si>
    <t>VA health benefits</t>
  </si>
  <si>
    <t>More health resources</t>
  </si>
  <si>
    <t>In the spotlight</t>
  </si>
  <si>
    <t>Subscribe to the My HealtheVet newsletter</t>
  </si>
  <si>
    <t>View all in health care</t>
  </si>
  <si>
    <t>Family and caregiver health benefits</t>
  </si>
  <si>
    <t>Apply now for health care</t>
  </si>
  <si>
    <t>View all in disability</t>
  </si>
  <si>
    <t>View your VA payment history</t>
  </si>
  <si>
    <t>View all in education</t>
  </si>
  <si>
    <t>Education and career benefits for family members</t>
  </si>
  <si>
    <t>View all in careers and employment</t>
  </si>
  <si>
    <t>About Veteran Readiness and Employment (VR&amp;E)</t>
  </si>
  <si>
    <t>Apply for VR&amp;E benefits</t>
  </si>
  <si>
    <t>View all in pension</t>
  </si>
  <si>
    <t>Veterans Pension eligibility</t>
  </si>
  <si>
    <t>Apply now for a Veterans Pension</t>
  </si>
  <si>
    <t>Survivors Pension</t>
  </si>
  <si>
    <t>View all in housing assistance</t>
  </si>
  <si>
    <t>About VA home loan types</t>
  </si>
  <si>
    <t>About disability housing grants</t>
  </si>
  <si>
    <t>How to apply for an adapted housing grant</t>
  </si>
  <si>
    <t>View all in life insurance</t>
  </si>
  <si>
    <t>Benefits for totally disabled or terminally ill policyholiders</t>
  </si>
  <si>
    <t>Update your beneficiaries</t>
  </si>
  <si>
    <t>View all in burials and memorials</t>
  </si>
  <si>
    <t>Veteran burial allowance</t>
  </si>
  <si>
    <t>Request military records (DD214)</t>
  </si>
  <si>
    <t>View all in records</t>
  </si>
  <si>
    <t>Download your VA benefit letters</t>
  </si>
  <si>
    <t>How to request a VA home loan Certificate of Eligibility (COE)</t>
  </si>
  <si>
    <t>Get Veteran ID cards</t>
  </si>
  <si>
    <t>How to apply for a discharge upgrade</t>
  </si>
  <si>
    <t>Research questions</t>
  </si>
  <si>
    <t xml:space="preserve">You submitted a claim to VA. You haven't gotten any response yet and you want to know what's happening with your claim. </t>
  </si>
  <si>
    <t>Disability, My VA</t>
  </si>
  <si>
    <t>2. Can users easily find tools that help them manage benefits they are already receiving?
3. Is there a difference in findability between tools that align with a single benefit versus those that support multiple benefits?
7. Is "My VA" a common pathway to tools related to managing benefits</t>
  </si>
  <si>
    <t xml:space="preserve">Keeping task focused on current claim status tool functionality since we are testing the current navigation and labeling.  Can genericize this in the future to test a broader status tool. </t>
  </si>
  <si>
    <t>Edu, My VA</t>
  </si>
  <si>
    <t>2018 WBC research summary - https://github.com/department-of-veterans-affairs/va.gov-team/blob/master/products/va-gov-relaunch-2018/user-research/brand-consolidation-research-summary-10-25-2018.pptx
2020 top tasks analytics - https://github.com/department-of-veterans-affairs/va.gov-team/blob/master/products/information-architecture/research-and-analytics/top-task-analytics-2020.md
2020 Logged-in homepage research - https://github.com/department-of-veterans-affairs/va.gov-team/blob/master/products/identity-personalization/my-va/2.0-redesign/discovery-and-research/user-research/findings-summary.md</t>
  </si>
  <si>
    <t>2. Can users easily find tools that help them manage benefits they are already receiving?
7. Is "My VA" a common pathway to tools related to managing benefits</t>
  </si>
  <si>
    <t>Health, MHV</t>
  </si>
  <si>
    <t>2. Can users easily find tools that help them manage benefits they are already receiving?
8. Is "My HealtheVet" a common pathway to tools related to managing health care?</t>
  </si>
  <si>
    <t>You are starting classes at your local college in the fall and you are ready apply for VA to help pay for your classes.</t>
  </si>
  <si>
    <t>1. Can users easily find information related to applying for key benefits?</t>
  </si>
  <si>
    <t>1. Can users easily find information related to applying for key benefits?
4. Where do users look for information related to bnefits for a Veteran's family member or caregiver?</t>
  </si>
  <si>
    <t xml:space="preserve">The tree won't go all the way to CHAMPVA, it will stop at the "Health and disability benefits" level. </t>
  </si>
  <si>
    <t>You are are buying a new home and want to start the process to get a VA-backed loan.</t>
  </si>
  <si>
    <t>1. Can users easily find information related to applying for key benefits?
5. Is the Service member benefits hub a common destination for key tasks related to Veteran benefits?</t>
  </si>
  <si>
    <t>Included to represent a housing assistance hub top task.
We could look at testing the revised structure of the housing hub. 
Do we want to go after "how to request" or the actual online form?  .</t>
  </si>
  <si>
    <t>You have a service-connected disability that limits your ability to work. You want to know more about a VA program that helps Veterans like you find and train for a job.</t>
  </si>
  <si>
    <t>1. Can users easily find information related to applying for key benefits?
6. Are Veterans able to determine which hub contains information related to the VR&amp;E program?</t>
  </si>
  <si>
    <t xml:space="preserve">Included to uncover any issues with the hub name and its impact on the findability of the VR&amp;E program. </t>
  </si>
  <si>
    <t xml:space="preserve">Criteria for task inclusion: </t>
  </si>
  <si>
    <t xml:space="preserve">Task must be relevant to the benefit hubs. Task should be in the top 30 tasks across the site or the top 4 within the benefit hub. Task must support the goals of the research effort. </t>
  </si>
  <si>
    <t xml:space="preserve">You want to find out if the child of a Veteran qualifies for health care benefits through VA. </t>
  </si>
  <si>
    <t xml:space="preserve">Using "health care" in question could lead to choosing the health care section over Family.  Do we consider a different family benefit where we don't need to use a leading term? There is already a apply for health care task as well. </t>
  </si>
  <si>
    <t>You want to get compensation for an illness you have due to your time in service.</t>
  </si>
  <si>
    <t xml:space="preserve">Removing so there's only 1 task related to disability.  Consider whether selecting an option in pension is also a correct response given the benefits are similar. </t>
  </si>
  <si>
    <t xml:space="preserve">You currently receive monthly payments for a service-connected injury and now require another person to help you with daily activities.  You want to know if you qualify for additional payments. </t>
  </si>
  <si>
    <t xml:space="preserve">Removing task, too similar to an increased disability claim. 
This is specific to those receiving a Pension, should we specifiy that so it is not confused with filing a disability increase?  Using the word "pension" would be leading. </t>
  </si>
  <si>
    <t xml:space="preserve">You are planning in advance and want to find out if you qualify for reimbursement of any costs related to your funeral. </t>
  </si>
  <si>
    <t xml:space="preserve">Removing tasks since we do not own hub experience. </t>
  </si>
  <si>
    <t>VA approved your application to help pay for college.  Now you want to look at approved schools to see how much your benefits will cover.</t>
  </si>
  <si>
    <t xml:space="preserve">Removing so there's only 1 task related to education.  Choosing tasks that focus on applying for and managing benefits over resources. </t>
  </si>
  <si>
    <t xml:space="preserve">Removing so there's only 1 task related to health </t>
  </si>
  <si>
    <t xml:space="preserve">You want to know if VA offers any benefits to help your child pay for their college. </t>
  </si>
  <si>
    <t xml:space="preserve">Removing so there's only 1 task relted to family members
The top task in family is CHAMPVA, but there is already a apply for health care question in the test. </t>
  </si>
  <si>
    <t>Tree decisions</t>
  </si>
  <si>
    <t xml:space="preserve">Tree follows navigation component clicks from top/primary nav to the hub page.  </t>
  </si>
  <si>
    <t>Hub page organization is included instead of side nav because that is where the "View all" option goes. Otherwise the full side nav menu would need to be included under every other option.</t>
  </si>
  <si>
    <t>Didn't include spoke headings in the top nav flyouts because they are not displayed on mobile.  Did include the spoke labels under the "View all" option because that option leads to the hub page with those labels on both mobile and desktop.</t>
  </si>
  <si>
    <t xml:space="preserve">Promo spot in top nav is not included as it is not intended to be a repeat of content within the benefit hubs. </t>
  </si>
  <si>
    <t>Profile is not an included top menu option because it is a separate feature from the core navigation and only available in an authenticated state.</t>
  </si>
  <si>
    <t>TREE</t>
  </si>
  <si>
    <t>All</t>
  </si>
  <si>
    <t>Get VA health care</t>
  </si>
  <si>
    <t>Apply online (VA Form 10-10EZ)</t>
  </si>
  <si>
    <t>Manage your health and benefits</t>
  </si>
  <si>
    <t>VA health care copay rates</t>
  </si>
  <si>
    <t>Specific health needs and conditions</t>
  </si>
  <si>
    <t>Chemical or hazardous material exposure</t>
  </si>
  <si>
    <t>Veterans programs for health and wellness</t>
  </si>
  <si>
    <t>Income limits and your VA health care</t>
  </si>
  <si>
    <t>The Affordable Care Act (ACA) and your VA health care coverage</t>
  </si>
  <si>
    <t>The Million Veteran Program</t>
  </si>
  <si>
    <t>1, 3, 6</t>
  </si>
  <si>
    <t>Get VA disability compensation</t>
  </si>
  <si>
    <t>Manage your Veterans disability benefits</t>
  </si>
  <si>
    <t>View your payment history</t>
  </si>
  <si>
    <t>Upload evidence to support your claim</t>
  </si>
  <si>
    <t>File for a VA disability increase</t>
  </si>
  <si>
    <t>Request a decision review or appeal</t>
  </si>
  <si>
    <t>2, 7, 10</t>
  </si>
  <si>
    <t>Get GI Bill and other education benefits</t>
  </si>
  <si>
    <t>Veteran Readiness and Employment (VR&amp;E)</t>
  </si>
  <si>
    <t>Educational and Career Counseling (Chapter 36)</t>
  </si>
  <si>
    <t>How your reason for withdrawing from a class affects your VA debt</t>
  </si>
  <si>
    <t>GI Bill questions and customer help</t>
  </si>
  <si>
    <t>GI Bill School Feedback Tool</t>
  </si>
  <si>
    <t>Handouts and forms</t>
  </si>
  <si>
    <t>Non-VA resources</t>
  </si>
  <si>
    <t>Get career and employment assistance</t>
  </si>
  <si>
    <t>About Veteran Readiness and Employment (Chapter 31) tracks</t>
  </si>
  <si>
    <t>Eligibility for Veteran Readiness and Employment</t>
  </si>
  <si>
    <t>How to apply for Veteran Readiness and Employment</t>
  </si>
  <si>
    <t>Apply online (VA Form 28-1900)</t>
  </si>
  <si>
    <t>Educational and career counseling (Chapter 36)</t>
  </si>
  <si>
    <t>Support for your Veteran-owned small business</t>
  </si>
  <si>
    <t>Manage your career and employment benefits</t>
  </si>
  <si>
    <t>Learn about the VA Transition Assistance Program</t>
  </si>
  <si>
    <t>Find a job (Department of Labor)</t>
  </si>
  <si>
    <t>Start a career at VA</t>
  </si>
  <si>
    <t>Download your Civil Service Preference Letter</t>
  </si>
  <si>
    <t>Get free LinkedIn Premium and LinkedIn Learning for a year (LinkedIn)</t>
  </si>
  <si>
    <t>Check your VR&amp;E eligibility and benefits</t>
  </si>
  <si>
    <t>VetSuccess on Campus</t>
  </si>
  <si>
    <t>Veteran Readiness and Employment glossary</t>
  </si>
  <si>
    <t>Veteran Readiness and Employment success stories</t>
  </si>
  <si>
    <t>Resources for Veterans</t>
  </si>
  <si>
    <t>VA transition assistance</t>
  </si>
  <si>
    <t>Get VA pension benefits</t>
  </si>
  <si>
    <t>Eligibility for a Veterans Pension</t>
  </si>
  <si>
    <t>How to apply for a VA pension as a Veteran</t>
  </si>
  <si>
    <t>Apply for a Veterans Pension online (VA Form 21P-527EZ)</t>
  </si>
  <si>
    <t>Manage your pension benefits</t>
  </si>
  <si>
    <t>Get help from a VA accredited representative or VSO</t>
  </si>
  <si>
    <t>Current pension rates for Veterans</t>
  </si>
  <si>
    <t>Get VA home laon benefits</t>
  </si>
  <si>
    <t>Eligibility for VA home loan programs</t>
  </si>
  <si>
    <t>Request a Certificate of Eligibility online (VA Form 26-1880)</t>
  </si>
  <si>
    <t>VA home loan programs for surviving spouses</t>
  </si>
  <si>
    <t>Check the status of your VA home loan COE</t>
  </si>
  <si>
    <t>A warning about home loan refinancing offers</t>
  </si>
  <si>
    <t>VA funding fee and loan closing costs</t>
  </si>
  <si>
    <t>Get Veterans housing assistance grants</t>
  </si>
  <si>
    <t>About disability housing grants for Veterans</t>
  </si>
  <si>
    <t>Apply for an adapted housing grant online (VA Form 26-4555)</t>
  </si>
  <si>
    <t>Check your Specially Adapted Housing grant claim status</t>
  </si>
  <si>
    <t>Get VA life insurance</t>
  </si>
  <si>
    <t>About VA insurance options and eligibility</t>
  </si>
  <si>
    <t>Beneficiary financial counseling and online will preparation</t>
  </si>
  <si>
    <t>Manage your life insurance policy and benefits</t>
  </si>
  <si>
    <t>File a claim for life insurance benefits</t>
  </si>
  <si>
    <t>Convert to a commercial policy</t>
  </si>
  <si>
    <t>File a TSGLI appeal (VA Form SGLV 8600A)</t>
  </si>
  <si>
    <t>Enroll in Veterans' Group Life Insurance (VGLI) Auto Pay</t>
  </si>
  <si>
    <t>Deciding how much life insurance to get</t>
  </si>
  <si>
    <t>Myths and rumors about SGLI/VGLI insurance</t>
  </si>
  <si>
    <t>About the SGLI Online Enrollment System (SOES)</t>
  </si>
  <si>
    <t>VA life insurance forms</t>
  </si>
  <si>
    <t>Life insurance if you have preexisting conditions</t>
  </si>
  <si>
    <t>Special dividend rumors</t>
  </si>
  <si>
    <t>Get Veteran burial benefits</t>
  </si>
  <si>
    <t>Benefits for burial or memorialization</t>
  </si>
  <si>
    <t>Benefits for spouse and dependents (VA DIC)</t>
  </si>
  <si>
    <t>Find your Veteran</t>
  </si>
  <si>
    <t>Learn about burial memorial benefits</t>
  </si>
  <si>
    <t>Cemetery Restoration Toolkit</t>
  </si>
  <si>
    <t>VA national cemetery daily burial schedule</t>
  </si>
  <si>
    <t>What to expect at a military funeral</t>
  </si>
  <si>
    <t>4, 9</t>
  </si>
  <si>
    <t>Get your records and documents</t>
  </si>
  <si>
    <t>Request your military records (DD214)</t>
  </si>
  <si>
    <t>Request personal records (VA Form 21-10206)</t>
  </si>
  <si>
    <t>Learn how to apply for a discharge upgrade</t>
  </si>
  <si>
    <t>Search historical military records (National Archives)</t>
  </si>
  <si>
    <t>Download your VA benefits letters</t>
  </si>
  <si>
    <t>VA benefits you can use during and after service</t>
  </si>
  <si>
    <t>GI Bill and other education benefits</t>
  </si>
  <si>
    <t>Certificate of Eligibliity for a VA-backed home loan</t>
  </si>
  <si>
    <t>Life insurance for you and your family</t>
  </si>
  <si>
    <t>Time-sensitive VA benefits to consider when separating or retiring</t>
  </si>
  <si>
    <t>Pre-discharge disability claim</t>
  </si>
  <si>
    <t>Converting your life insurance after separation</t>
  </si>
  <si>
    <t>Active-duty service members and VA health care</t>
  </si>
  <si>
    <t>Other VA benefits to consider as a Veteran</t>
  </si>
  <si>
    <t>Disaiblity compensation</t>
  </si>
  <si>
    <t>Support for Veteran-owned small businesses</t>
  </si>
  <si>
    <t>Veterans Pension program</t>
  </si>
  <si>
    <t>Aid and attendance or housebound allowance</t>
  </si>
  <si>
    <t>More life insurance options</t>
  </si>
  <si>
    <t>Pre-need eligibility determination for burial in a VA national cemetery</t>
  </si>
  <si>
    <t>Benefits for spouses, dependents, survivors, and caregivers</t>
  </si>
  <si>
    <t>Health and disability benefits for family and caregivers</t>
  </si>
  <si>
    <t>1, 2, 5, 7</t>
  </si>
  <si>
    <t>2, 5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</si>
</sst>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9" x14ac:knownFonts="1">
    <font>
      <sz val="10"/>
      <color rgb="FF000000"/>
      <name val="Arial"/>
      <scheme val="minor"/>
    </font>
    <font>
      <b/>
      <sz val="10"/>
      <color theme="1"/>
      <name val="Arial"/>
    </font>
    <font>
      <sz val="10"/>
      <color theme="1"/>
      <name val="Arial"/>
    </font>
    <font>
      <sz val="10"/>
      <color rgb="FF000000"/>
      <name val="Arial"/>
    </font>
    <font>
      <sz val="10"/>
      <color rgb="FF000000"/>
      <name val="Arial"/>
      <charset val="1"/>
    </font>
    <font>
      <b/>
      <sz val="10"/>
      <color rgb="FF000000"/>
      <name val="Arial"/>
    </font>
    <font>
      <i/>
      <strike/>
      <sz val="10"/>
      <color theme="0" tint="-0.249977111117893"/>
      <name val="Arial"/>
    </font>
    <font>
      <i/>
      <strike/>
      <sz val="10"/>
      <color theme="0" tint="-0.249977111117893"/>
      <name val="Arial"/>
      <scheme val="minor"/>
    </font>
    <font>
      <b/>
      <sz val="10"/>
      <color rgb="FF000000"/>
      <name val="Arial"/>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applyAlignment="1">
      <alignment horizontal="left" vertical="top" wrapText="1"/>
    </xf>
    <xf numFmtId="0" fontId="0" fillId="0" borderId="0" xfId="0" applyAlignment="1">
      <alignment horizontal="left"/>
    </xf>
    <xf numFmtId="0" fontId="2" fillId="0" borderId="0" xfId="0" applyFont="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164" fontId="3" fillId="0" borderId="0" xfId="0" applyNumberFormat="1" applyFont="1" applyAlignment="1">
      <alignment horizontal="left" vertical="top" wrapText="1"/>
    </xf>
    <xf numFmtId="0" fontId="1" fillId="2" borderId="0" xfId="0" applyFont="1" applyFill="1" applyAlignment="1">
      <alignment horizontal="left" vertical="top" wrapText="1"/>
    </xf>
    <xf numFmtId="164" fontId="5" fillId="2" borderId="0" xfId="0" applyNumberFormat="1" applyFont="1" applyFill="1" applyAlignment="1">
      <alignment horizontal="left" vertical="top" wrapText="1"/>
    </xf>
    <xf numFmtId="0" fontId="2" fillId="2" borderId="0" xfId="0" applyFont="1"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vertical="top" wrapText="1"/>
    </xf>
    <xf numFmtId="0" fontId="6" fillId="0" borderId="0" xfId="0" applyFont="1" applyAlignment="1">
      <alignment horizontal="left" vertical="top" wrapText="1"/>
    </xf>
    <xf numFmtId="164" fontId="6" fillId="0" borderId="0" xfId="0" applyNumberFormat="1"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vertical="top" wrapText="1"/>
    </xf>
    <xf numFmtId="0" fontId="0" fillId="0" borderId="0" xfId="0" applyAlignment="1">
      <alignment vertical="top"/>
    </xf>
    <xf numFmtId="0" fontId="8" fillId="0" borderId="0" xfId="0" applyFont="1"/>
    <xf numFmtId="0" fontId="4" fillId="0" borderId="0" xfId="0" applyFont="1"/>
    <xf numFmtId="0" fontId="8" fillId="0" borderId="0" xfId="0" applyFont="1" applyAlignment="1">
      <alignment vertical="top" wrapText="1"/>
    </xf>
    <xf numFmtId="0" fontId="8" fillId="0" borderId="0" xfId="0" applyFont="1" applyAlignment="1">
      <alignment vertical="top"/>
    </xf>
    <xf numFmtId="0" fontId="8" fillId="2" borderId="0" xfId="0" applyFont="1" applyFill="1" applyAlignment="1">
      <alignment vertical="top"/>
    </xf>
    <xf numFmtId="0" fontId="8" fillId="2" borderId="0" xfId="0" applyFont="1" applyFill="1" applyAlignment="1">
      <alignment vertical="top" wrapText="1"/>
    </xf>
    <xf numFmtId="0" fontId="8" fillId="2"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1" Type="http://customschemas.google.com/relationships/workbookmetadata" Target="metadata"/><Relationship Id="rId15" Type="http://schemas.microsoft.com/office/2017/10/relationships/person" Target="persons/person.xml"/><Relationship Id="rId19" Type="http://schemas.openxmlformats.org/officeDocument/2006/relationships/customXml" Target="../customXml/item3.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orthuis, Mikki" id="{916C152C-F937-46D6-BB07-D0FCDE6FFE1A}" userId="S::michelle.northuis@va.gov::ffdb2754-938f-4123-b57a-f5bf2861f94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6-02-12T17:24:37.06" personId="{916C152C-F937-46D6-BB07-D0FCDE6FFE1A}" id="{AC6B9EFA-7BB4-40FC-85FC-B7C2DBA4CEAA}">
    <text xml:space="preserve">Pulling data for top visited page in a group - i.e. if a child page of rates gets more views than the parent page, the child page views are listed; or if the tool has more views than a landing page, the tool views are listed.  This is because it is not the specific page that matters, it is the general task that matters.    
Also adding together page views when there was a known URL change during the year.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D103-181A-4DD6-AD0F-FD5B2457DA95}">
  <dimension ref="A1:D5"/>
  <sheetViews>
    <sheetView workbookViewId="0">
      <selection activeCell="B3" sqref="B3"/>
    </sheetView>
  </sheetViews>
  <sheetFormatPr defaultRowHeight="12.5" x14ac:dyDescent="0.25"/>
  <cols>
    <col min="1" max="1" width="23.1796875" customWidth="1"/>
    <col min="2" max="2" width="17.1796875" customWidth="1"/>
    <col min="3" max="3" width="37.54296875" customWidth="1"/>
    <col min="4" max="4" width="38.81640625" customWidth="1"/>
  </cols>
  <sheetData>
    <row r="1" spans="1:4" s="18" customFormat="1" ht="13" x14ac:dyDescent="0.3">
      <c r="A1" s="18" t="s">
        <v>0</v>
      </c>
    </row>
    <row r="2" spans="1:4" ht="37.5" x14ac:dyDescent="0.25">
      <c r="A2" s="4" t="s">
        <v>1</v>
      </c>
      <c r="B2" s="17"/>
      <c r="C2" s="17"/>
    </row>
    <row r="3" spans="1:4" ht="75" x14ac:dyDescent="0.25">
      <c r="B3" s="17" t="s">
        <v>2</v>
      </c>
      <c r="C3" s="4" t="s">
        <v>3</v>
      </c>
      <c r="D3" s="4" t="s">
        <v>4</v>
      </c>
    </row>
    <row r="4" spans="1:4" ht="87.5" x14ac:dyDescent="0.25">
      <c r="B4" s="17" t="s">
        <v>5</v>
      </c>
      <c r="C4" s="4" t="s">
        <v>6</v>
      </c>
      <c r="D4" s="4" t="s">
        <v>7</v>
      </c>
    </row>
    <row r="5" spans="1:4" ht="50" x14ac:dyDescent="0.25">
      <c r="A5" s="17"/>
      <c r="C5" s="4" t="s">
        <v>8</v>
      </c>
      <c r="D5" s="4"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5DEC9-B48D-4060-9C6A-CFF278C8FCFE}">
  <dimension ref="A1:AJ27"/>
  <sheetViews>
    <sheetView workbookViewId="0">
      <selection activeCell="J2" sqref="J2"/>
    </sheetView>
  </sheetViews>
  <sheetFormatPr defaultColWidth="9.1796875" defaultRowHeight="12.5" x14ac:dyDescent="0.25"/>
  <cols>
    <col min="1" max="1" width="3.54296875" style="6" customWidth="1"/>
    <col min="2" max="2" width="36.453125" style="4" customWidth="1"/>
    <col min="3" max="3" width="43.7265625" style="4" customWidth="1"/>
    <col min="4" max="4" width="11.453125" style="4" bestFit="1" customWidth="1"/>
    <col min="5" max="5" width="9.1796875" style="4"/>
    <col min="6" max="6" width="11.7265625" style="4" customWidth="1"/>
    <col min="7" max="7" width="6.81640625" style="4" customWidth="1"/>
    <col min="8" max="8" width="10.453125" style="4" customWidth="1"/>
    <col min="9" max="9" width="48.54296875" style="4" customWidth="1"/>
    <col min="10" max="10" width="48.26953125" style="4" customWidth="1"/>
    <col min="11" max="11" width="0" style="4" hidden="1" customWidth="1"/>
    <col min="12" max="12" width="10.1796875" style="4" hidden="1" customWidth="1"/>
    <col min="13" max="13" width="92.1796875" style="4" hidden="1" customWidth="1"/>
    <col min="14" max="16384" width="9.1796875" style="4"/>
  </cols>
  <sheetData>
    <row r="1" spans="1:36" s="12" customFormat="1" ht="39" x14ac:dyDescent="0.25">
      <c r="A1" s="11"/>
      <c r="B1" s="8" t="s">
        <v>10</v>
      </c>
      <c r="C1" s="8" t="s">
        <v>11</v>
      </c>
      <c r="D1" s="9" t="s">
        <v>12</v>
      </c>
      <c r="E1" s="9" t="s">
        <v>13</v>
      </c>
      <c r="F1" s="8" t="s">
        <v>14</v>
      </c>
      <c r="G1" s="8" t="s">
        <v>15</v>
      </c>
      <c r="H1" s="8" t="s">
        <v>16</v>
      </c>
      <c r="I1" s="8" t="s">
        <v>256</v>
      </c>
      <c r="J1" s="8" t="s">
        <v>17</v>
      </c>
      <c r="K1" s="8" t="s">
        <v>18</v>
      </c>
      <c r="L1" s="8" t="s">
        <v>19</v>
      </c>
      <c r="M1" s="8" t="s">
        <v>20</v>
      </c>
      <c r="N1" s="8"/>
      <c r="O1" s="10"/>
      <c r="P1" s="10"/>
      <c r="Q1" s="10"/>
      <c r="R1" s="10"/>
      <c r="S1" s="10"/>
      <c r="T1" s="10"/>
      <c r="U1" s="10"/>
      <c r="V1" s="10"/>
      <c r="W1" s="10"/>
      <c r="X1" s="10"/>
      <c r="Y1" s="10"/>
      <c r="Z1" s="10"/>
      <c r="AA1" s="10"/>
      <c r="AB1" s="10"/>
      <c r="AC1" s="10"/>
      <c r="AD1" s="10"/>
      <c r="AE1" s="10"/>
      <c r="AF1" s="10"/>
      <c r="AG1" s="10"/>
      <c r="AH1" s="11"/>
    </row>
    <row r="2" spans="1:36" ht="144" customHeight="1" x14ac:dyDescent="0.25">
      <c r="A2" s="6">
        <v>1</v>
      </c>
      <c r="B2" s="3" t="s">
        <v>27</v>
      </c>
      <c r="C2" s="1" t="s">
        <v>257</v>
      </c>
      <c r="D2" s="7">
        <v>30710222</v>
      </c>
      <c r="E2" s="7">
        <v>4</v>
      </c>
      <c r="F2" s="3" t="s">
        <v>258</v>
      </c>
      <c r="G2" s="3">
        <v>1</v>
      </c>
      <c r="H2" s="3" t="s">
        <v>22</v>
      </c>
      <c r="I2" s="3" t="s">
        <v>259</v>
      </c>
      <c r="J2" s="3" t="s">
        <v>260</v>
      </c>
      <c r="K2" s="3"/>
      <c r="L2" s="3"/>
      <c r="M2" s="1" t="s">
        <v>29</v>
      </c>
      <c r="N2" s="3"/>
      <c r="O2" s="3"/>
      <c r="P2" s="3"/>
      <c r="Q2" s="3"/>
      <c r="R2" s="3"/>
      <c r="S2" s="3"/>
      <c r="T2" s="3"/>
      <c r="U2" s="3"/>
      <c r="V2" s="3"/>
      <c r="W2" s="3"/>
      <c r="X2" s="3"/>
      <c r="Y2" s="3"/>
      <c r="Z2" s="3"/>
      <c r="AA2" s="3"/>
      <c r="AB2" s="3"/>
      <c r="AC2" s="3"/>
      <c r="AD2" s="3"/>
      <c r="AE2" s="3"/>
      <c r="AF2" s="3"/>
      <c r="AG2" s="3"/>
      <c r="AH2" s="6"/>
    </row>
    <row r="3" spans="1:36" ht="125" x14ac:dyDescent="0.25">
      <c r="A3" s="6">
        <v>2</v>
      </c>
      <c r="B3" s="3" t="s">
        <v>31</v>
      </c>
      <c r="C3" s="1" t="s">
        <v>32</v>
      </c>
      <c r="D3" s="7">
        <v>19349275</v>
      </c>
      <c r="E3" s="7">
        <v>6</v>
      </c>
      <c r="F3" s="3" t="s">
        <v>261</v>
      </c>
      <c r="G3" s="3">
        <v>2</v>
      </c>
      <c r="H3" s="3" t="s">
        <v>22</v>
      </c>
      <c r="I3" s="3" t="s">
        <v>259</v>
      </c>
      <c r="J3" s="3"/>
      <c r="K3" s="3"/>
      <c r="L3" s="3"/>
      <c r="M3" s="1" t="s">
        <v>262</v>
      </c>
      <c r="N3" s="3"/>
      <c r="O3" s="3"/>
      <c r="P3" s="3"/>
      <c r="Q3" s="3"/>
      <c r="R3" s="3"/>
      <c r="S3" s="3"/>
      <c r="T3" s="3"/>
      <c r="U3" s="3"/>
      <c r="V3" s="3"/>
      <c r="W3" s="3"/>
      <c r="X3" s="3"/>
      <c r="Y3" s="3"/>
      <c r="Z3" s="3"/>
      <c r="AA3" s="3"/>
      <c r="AB3" s="3"/>
      <c r="AC3" s="3"/>
      <c r="AD3" s="3"/>
      <c r="AE3" s="3"/>
      <c r="AF3" s="3"/>
      <c r="AG3" s="3"/>
      <c r="AH3" s="6"/>
    </row>
    <row r="4" spans="1:36" ht="85.5" customHeight="1" x14ac:dyDescent="0.25">
      <c r="A4" s="6">
        <v>3</v>
      </c>
      <c r="B4" s="3" t="s">
        <v>34</v>
      </c>
      <c r="C4" s="1" t="s">
        <v>35</v>
      </c>
      <c r="D4" s="7">
        <v>14731860</v>
      </c>
      <c r="E4" s="7">
        <v>7</v>
      </c>
      <c r="F4" s="3" t="s">
        <v>258</v>
      </c>
      <c r="G4" s="3">
        <v>1</v>
      </c>
      <c r="H4" s="3" t="s">
        <v>22</v>
      </c>
      <c r="I4" s="3" t="s">
        <v>263</v>
      </c>
      <c r="J4" s="3"/>
      <c r="K4" s="3" t="s">
        <v>33</v>
      </c>
      <c r="L4" s="3"/>
      <c r="M4" s="3" t="s">
        <v>37</v>
      </c>
      <c r="N4" s="3"/>
      <c r="O4" s="3"/>
      <c r="P4" s="3"/>
      <c r="Q4" s="3"/>
      <c r="R4" s="3"/>
      <c r="S4" s="3"/>
      <c r="T4" s="3"/>
      <c r="U4" s="3"/>
      <c r="V4" s="3"/>
      <c r="W4" s="3"/>
      <c r="X4" s="3"/>
      <c r="Y4" s="3"/>
      <c r="Z4" s="3"/>
      <c r="AA4" s="3"/>
      <c r="AB4" s="3"/>
      <c r="AC4" s="3"/>
      <c r="AD4" s="3"/>
      <c r="AE4" s="3"/>
      <c r="AF4" s="3"/>
      <c r="AG4" s="3"/>
      <c r="AH4" s="6"/>
    </row>
    <row r="5" spans="1:36" s="2" customFormat="1" ht="118.5" customHeight="1" x14ac:dyDescent="0.25">
      <c r="A5" s="5">
        <v>4</v>
      </c>
      <c r="B5" s="3" t="s">
        <v>40</v>
      </c>
      <c r="C5" s="1" t="s">
        <v>41</v>
      </c>
      <c r="D5" s="7">
        <v>6923119</v>
      </c>
      <c r="E5" s="7">
        <v>11</v>
      </c>
      <c r="F5" s="3" t="s">
        <v>21</v>
      </c>
      <c r="G5" s="3">
        <v>1</v>
      </c>
      <c r="H5" s="3" t="s">
        <v>22</v>
      </c>
      <c r="I5" s="3" t="s">
        <v>259</v>
      </c>
      <c r="J5" s="3"/>
      <c r="K5" s="3"/>
      <c r="L5" s="3"/>
      <c r="M5" s="1" t="s">
        <v>29</v>
      </c>
      <c r="N5" s="3"/>
      <c r="O5" s="3"/>
      <c r="P5" s="3"/>
      <c r="Q5" s="3"/>
      <c r="R5" s="3"/>
      <c r="S5" s="3"/>
      <c r="T5" s="3"/>
      <c r="U5" s="3"/>
      <c r="V5" s="3"/>
      <c r="W5" s="3"/>
      <c r="X5" s="3"/>
      <c r="Y5" s="3"/>
      <c r="Z5" s="3"/>
      <c r="AA5" s="3"/>
      <c r="AB5" s="3"/>
      <c r="AC5" s="3"/>
      <c r="AD5" s="3"/>
      <c r="AE5" s="3"/>
      <c r="AF5" s="3"/>
      <c r="AG5" s="3"/>
      <c r="AH5" s="6"/>
      <c r="AI5" s="4"/>
      <c r="AJ5" s="4"/>
    </row>
    <row r="6" spans="1:36" ht="50" x14ac:dyDescent="0.25">
      <c r="A6" s="6">
        <v>5</v>
      </c>
      <c r="B6" s="3" t="s">
        <v>46</v>
      </c>
      <c r="C6" s="1" t="s">
        <v>47</v>
      </c>
      <c r="D6" s="7">
        <f>3264525+774068</f>
        <v>4038593</v>
      </c>
      <c r="E6" s="7">
        <v>15</v>
      </c>
      <c r="F6" s="3" t="s">
        <v>264</v>
      </c>
      <c r="G6" s="3">
        <v>2</v>
      </c>
      <c r="H6" s="3" t="s">
        <v>22</v>
      </c>
      <c r="I6" s="3" t="s">
        <v>265</v>
      </c>
      <c r="J6" s="3"/>
      <c r="K6" s="3" t="s">
        <v>45</v>
      </c>
      <c r="L6" s="3"/>
      <c r="M6" s="3"/>
      <c r="N6" s="3"/>
      <c r="O6" s="3"/>
      <c r="P6" s="3"/>
      <c r="Q6" s="3"/>
      <c r="R6" s="3"/>
      <c r="S6" s="3"/>
      <c r="T6" s="3"/>
      <c r="U6" s="3"/>
      <c r="V6" s="3"/>
      <c r="W6" s="3"/>
      <c r="X6" s="3"/>
      <c r="Y6" s="3"/>
      <c r="Z6" s="3"/>
      <c r="AA6" s="3"/>
      <c r="AB6" s="3"/>
      <c r="AC6" s="3"/>
      <c r="AD6" s="3"/>
      <c r="AE6" s="3"/>
      <c r="AF6" s="3"/>
      <c r="AG6" s="3"/>
      <c r="AH6" s="6"/>
    </row>
    <row r="7" spans="1:36" ht="87.5" x14ac:dyDescent="0.25">
      <c r="A7" s="6">
        <v>6</v>
      </c>
      <c r="B7" s="6" t="s">
        <v>83</v>
      </c>
      <c r="C7" s="1" t="s">
        <v>84</v>
      </c>
      <c r="D7" s="7">
        <f>1821540+989842</f>
        <v>2811382</v>
      </c>
      <c r="E7" s="7">
        <v>23</v>
      </c>
      <c r="F7" s="3" t="s">
        <v>28</v>
      </c>
      <c r="G7" s="3">
        <v>3</v>
      </c>
      <c r="H7" s="3" t="s">
        <v>22</v>
      </c>
      <c r="I7" s="3" t="s">
        <v>259</v>
      </c>
      <c r="J7" s="3"/>
      <c r="K7" s="3"/>
      <c r="L7" s="3"/>
      <c r="M7" s="4" t="s">
        <v>68</v>
      </c>
      <c r="N7" s="3"/>
      <c r="O7" s="3"/>
      <c r="P7" s="3"/>
      <c r="Q7" s="3"/>
      <c r="R7" s="3"/>
      <c r="S7" s="3"/>
      <c r="T7" s="3"/>
      <c r="U7" s="3"/>
      <c r="V7" s="3"/>
      <c r="W7" s="3"/>
      <c r="X7" s="3"/>
      <c r="Y7" s="3"/>
      <c r="Z7" s="3"/>
      <c r="AA7" s="3"/>
      <c r="AB7" s="3"/>
      <c r="AC7" s="3"/>
      <c r="AD7" s="3"/>
      <c r="AE7" s="3"/>
      <c r="AF7" s="3"/>
      <c r="AG7" s="3"/>
      <c r="AH7" s="6"/>
    </row>
    <row r="8" spans="1:36" ht="75" x14ac:dyDescent="0.25">
      <c r="A8" s="6">
        <v>7</v>
      </c>
      <c r="B8" s="3" t="s">
        <v>54</v>
      </c>
      <c r="C8" s="1" t="s">
        <v>266</v>
      </c>
      <c r="D8" s="7">
        <f>1184317+1155241</f>
        <v>2339558</v>
      </c>
      <c r="E8" s="7"/>
      <c r="F8" s="3" t="s">
        <v>55</v>
      </c>
      <c r="G8" s="3"/>
      <c r="H8" s="3" t="s">
        <v>23</v>
      </c>
      <c r="I8" s="3" t="s">
        <v>267</v>
      </c>
      <c r="J8" s="3" t="s">
        <v>85</v>
      </c>
      <c r="K8" s="3" t="s">
        <v>33</v>
      </c>
      <c r="L8" s="3"/>
      <c r="M8" s="1" t="s">
        <v>29</v>
      </c>
      <c r="N8" s="3"/>
      <c r="O8" s="3"/>
      <c r="P8" s="3"/>
      <c r="Q8" s="3"/>
      <c r="R8" s="3"/>
      <c r="S8" s="3"/>
      <c r="T8" s="3"/>
      <c r="U8" s="3"/>
      <c r="V8" s="3"/>
      <c r="W8" s="3"/>
      <c r="X8" s="3"/>
      <c r="Y8" s="3"/>
      <c r="Z8" s="3"/>
      <c r="AA8" s="3"/>
      <c r="AB8" s="3"/>
      <c r="AC8" s="3"/>
      <c r="AD8" s="3"/>
      <c r="AE8" s="3"/>
      <c r="AF8" s="3"/>
      <c r="AG8" s="3"/>
      <c r="AH8" s="6"/>
    </row>
    <row r="9" spans="1:36" ht="50" x14ac:dyDescent="0.25">
      <c r="A9" s="6">
        <v>8</v>
      </c>
      <c r="B9" s="3" t="s">
        <v>56</v>
      </c>
      <c r="C9" s="1" t="s">
        <v>75</v>
      </c>
      <c r="D9" s="7">
        <v>2330219</v>
      </c>
      <c r="E9" s="7"/>
      <c r="F9" s="3" t="s">
        <v>57</v>
      </c>
      <c r="G9" s="3">
        <v>1</v>
      </c>
      <c r="H9" s="3" t="s">
        <v>23</v>
      </c>
      <c r="I9" s="3" t="s">
        <v>268</v>
      </c>
      <c r="J9" s="3" t="s">
        <v>269</v>
      </c>
      <c r="K9" s="3"/>
      <c r="L9" s="3"/>
      <c r="M9" s="3" t="s">
        <v>48</v>
      </c>
      <c r="N9" s="3"/>
      <c r="O9" s="3"/>
      <c r="P9" s="3"/>
      <c r="Q9" s="3"/>
      <c r="R9" s="3"/>
      <c r="S9" s="3"/>
      <c r="T9" s="3"/>
      <c r="U9" s="3"/>
      <c r="V9" s="3"/>
      <c r="W9" s="3"/>
      <c r="X9" s="3"/>
      <c r="Y9" s="3"/>
      <c r="Z9" s="3"/>
      <c r="AA9" s="3"/>
      <c r="AB9" s="3"/>
      <c r="AC9" s="3"/>
      <c r="AD9" s="3"/>
      <c r="AE9" s="3"/>
      <c r="AF9" s="3"/>
      <c r="AG9" s="3"/>
      <c r="AH9" s="2"/>
      <c r="AI9" s="2"/>
      <c r="AJ9" s="2"/>
    </row>
    <row r="10" spans="1:36" ht="62.5" x14ac:dyDescent="0.25">
      <c r="A10" s="6">
        <v>9</v>
      </c>
      <c r="B10" s="3" t="s">
        <v>65</v>
      </c>
      <c r="C10" s="1" t="s">
        <v>270</v>
      </c>
      <c r="D10" s="7">
        <v>1150374</v>
      </c>
      <c r="E10" s="7"/>
      <c r="F10" s="3" t="s">
        <v>52</v>
      </c>
      <c r="G10" s="3">
        <v>1</v>
      </c>
      <c r="H10" s="3" t="s">
        <v>23</v>
      </c>
      <c r="I10" s="3" t="s">
        <v>271</v>
      </c>
      <c r="J10" s="3" t="s">
        <v>272</v>
      </c>
      <c r="K10" s="3" t="s">
        <v>33</v>
      </c>
      <c r="L10" s="3"/>
      <c r="M10" s="3" t="s">
        <v>66</v>
      </c>
      <c r="N10" s="3"/>
      <c r="O10" s="3"/>
      <c r="P10" s="3"/>
      <c r="Q10" s="3"/>
      <c r="R10" s="3"/>
      <c r="S10" s="3"/>
      <c r="T10" s="3"/>
      <c r="U10" s="3"/>
      <c r="V10" s="3"/>
      <c r="W10" s="3"/>
      <c r="X10" s="3"/>
      <c r="Y10" s="3"/>
      <c r="Z10" s="3"/>
      <c r="AA10" s="3"/>
      <c r="AB10" s="3"/>
      <c r="AC10" s="3"/>
      <c r="AD10" s="3"/>
      <c r="AE10" s="3"/>
      <c r="AF10" s="3"/>
      <c r="AG10" s="3"/>
      <c r="AH10" s="6"/>
    </row>
    <row r="11" spans="1:36" ht="50" x14ac:dyDescent="0.25">
      <c r="A11" s="6">
        <v>10</v>
      </c>
      <c r="B11" s="6" t="s">
        <v>69</v>
      </c>
      <c r="C11" s="1" t="s">
        <v>273</v>
      </c>
      <c r="D11" s="7">
        <v>1002413</v>
      </c>
      <c r="E11" s="7"/>
      <c r="F11" s="3" t="s">
        <v>70</v>
      </c>
      <c r="G11" s="3">
        <v>1</v>
      </c>
      <c r="H11" s="3" t="s">
        <v>23</v>
      </c>
      <c r="I11" s="3" t="s">
        <v>274</v>
      </c>
      <c r="J11" s="3" t="s">
        <v>275</v>
      </c>
      <c r="K11" s="3"/>
      <c r="L11" s="3"/>
      <c r="M11" s="3"/>
      <c r="N11" s="3"/>
      <c r="O11" s="3"/>
      <c r="P11" s="3"/>
      <c r="Q11" s="3"/>
      <c r="R11" s="3"/>
      <c r="S11" s="3"/>
      <c r="T11" s="3"/>
      <c r="U11" s="3"/>
      <c r="V11" s="3"/>
      <c r="W11" s="3"/>
      <c r="X11" s="3"/>
      <c r="Y11" s="3"/>
      <c r="Z11" s="3"/>
      <c r="AA11" s="3"/>
      <c r="AB11" s="3"/>
      <c r="AC11" s="3"/>
      <c r="AD11" s="3"/>
      <c r="AE11" s="3"/>
      <c r="AF11" s="3"/>
      <c r="AG11" s="3"/>
      <c r="AH11" s="6"/>
    </row>
    <row r="13" spans="1:36" ht="13" x14ac:dyDescent="0.25">
      <c r="B13" s="8"/>
      <c r="C13" s="8"/>
      <c r="D13" s="9"/>
      <c r="E13" s="9"/>
      <c r="F13" s="8"/>
      <c r="G13" s="8"/>
      <c r="H13" s="8"/>
      <c r="I13" s="8"/>
      <c r="J13" s="8"/>
      <c r="K13" s="8"/>
      <c r="L13" s="8"/>
      <c r="M13" s="8"/>
      <c r="N13" s="10"/>
      <c r="O13" s="10"/>
      <c r="P13" s="10"/>
      <c r="Q13" s="10"/>
      <c r="R13" s="10"/>
      <c r="S13" s="10"/>
      <c r="T13" s="10"/>
      <c r="U13" s="10"/>
      <c r="V13" s="10"/>
      <c r="W13" s="10"/>
      <c r="X13" s="10"/>
      <c r="Y13" s="10"/>
      <c r="Z13" s="10"/>
      <c r="AA13" s="10"/>
      <c r="AB13" s="10"/>
      <c r="AC13" s="10"/>
      <c r="AD13" s="10"/>
      <c r="AE13" s="10"/>
      <c r="AF13" s="10"/>
      <c r="AG13" s="10"/>
      <c r="AH13" s="11"/>
      <c r="AI13" s="12"/>
      <c r="AJ13" s="12"/>
    </row>
    <row r="14" spans="1:36" ht="13" x14ac:dyDescent="0.25">
      <c r="B14" s="20" t="s">
        <v>276</v>
      </c>
      <c r="C14" s="19" t="s">
        <v>277</v>
      </c>
    </row>
    <row r="15" spans="1:36" ht="13" x14ac:dyDescent="0.25">
      <c r="B15" s="8"/>
      <c r="C15" s="8"/>
      <c r="D15" s="9"/>
      <c r="E15" s="9"/>
      <c r="F15" s="8"/>
      <c r="G15" s="8"/>
      <c r="H15" s="8"/>
      <c r="I15" s="8"/>
      <c r="J15" s="8"/>
      <c r="K15" s="8"/>
      <c r="L15" s="8"/>
      <c r="M15" s="8"/>
      <c r="N15" s="10"/>
      <c r="O15" s="10"/>
      <c r="P15" s="10"/>
      <c r="Q15" s="10"/>
      <c r="R15" s="10"/>
      <c r="S15" s="10"/>
      <c r="T15" s="10"/>
      <c r="U15" s="10"/>
      <c r="V15" s="10"/>
      <c r="W15" s="10"/>
      <c r="X15" s="10"/>
      <c r="Y15" s="10"/>
      <c r="Z15" s="10"/>
      <c r="AA15" s="10"/>
      <c r="AB15" s="10"/>
      <c r="AC15" s="10"/>
      <c r="AD15" s="10"/>
      <c r="AE15" s="10"/>
      <c r="AF15" s="10"/>
      <c r="AG15" s="10"/>
      <c r="AH15" s="11"/>
      <c r="AI15" s="12"/>
      <c r="AJ15" s="12"/>
    </row>
    <row r="17" spans="1:36" ht="65" x14ac:dyDescent="0.25">
      <c r="B17" s="13" t="s">
        <v>56</v>
      </c>
      <c r="C17" s="13" t="s">
        <v>278</v>
      </c>
      <c r="D17" s="14">
        <v>2330219</v>
      </c>
      <c r="E17" s="14"/>
      <c r="F17" s="13" t="s">
        <v>57</v>
      </c>
      <c r="G17" s="13">
        <v>1</v>
      </c>
      <c r="H17" s="13" t="s">
        <v>23</v>
      </c>
      <c r="I17" s="13"/>
      <c r="J17" s="13" t="s">
        <v>279</v>
      </c>
      <c r="K17" s="13"/>
      <c r="L17" s="13"/>
      <c r="M17" s="13"/>
      <c r="N17" s="13"/>
      <c r="O17" s="13"/>
      <c r="P17" s="13"/>
      <c r="Q17" s="13"/>
      <c r="R17" s="13"/>
      <c r="S17" s="13"/>
      <c r="T17" s="13"/>
      <c r="U17" s="13"/>
      <c r="V17" s="13"/>
      <c r="W17" s="13"/>
      <c r="X17" s="13"/>
      <c r="Y17" s="13"/>
      <c r="Z17" s="13"/>
      <c r="AA17" s="13"/>
      <c r="AB17" s="13"/>
      <c r="AC17" s="13"/>
      <c r="AD17" s="13"/>
      <c r="AE17" s="13"/>
      <c r="AF17" s="13"/>
      <c r="AG17" s="13"/>
      <c r="AH17" s="15"/>
      <c r="AI17" s="16"/>
      <c r="AJ17" s="16"/>
    </row>
    <row r="18" spans="1:36" s="16" customFormat="1" ht="13" x14ac:dyDescent="0.25">
      <c r="A18" s="15"/>
      <c r="B18" s="13" t="s">
        <v>42</v>
      </c>
      <c r="C18" s="13"/>
      <c r="D18" s="14">
        <v>5407257</v>
      </c>
      <c r="E18" s="14">
        <v>12</v>
      </c>
      <c r="F18" s="13" t="s">
        <v>36</v>
      </c>
      <c r="G18" s="13">
        <v>3</v>
      </c>
      <c r="H18" s="13" t="s">
        <v>30</v>
      </c>
      <c r="I18" s="13"/>
      <c r="J18" s="13"/>
      <c r="K18" s="13" t="s">
        <v>33</v>
      </c>
      <c r="L18" s="13"/>
      <c r="M18" s="13"/>
      <c r="N18" s="13"/>
      <c r="O18" s="13"/>
      <c r="P18" s="13"/>
      <c r="Q18" s="13"/>
      <c r="R18" s="13"/>
      <c r="S18" s="13"/>
      <c r="T18" s="13"/>
      <c r="U18" s="13"/>
      <c r="V18" s="13"/>
      <c r="W18" s="13"/>
      <c r="X18" s="13"/>
      <c r="Y18" s="13"/>
      <c r="Z18" s="13"/>
      <c r="AA18" s="13"/>
      <c r="AB18" s="13"/>
      <c r="AC18" s="13"/>
      <c r="AD18" s="13"/>
      <c r="AE18" s="13"/>
      <c r="AF18" s="13"/>
      <c r="AG18" s="13"/>
      <c r="AH18" s="15"/>
    </row>
    <row r="19" spans="1:36" s="16" customFormat="1" ht="13" x14ac:dyDescent="0.25">
      <c r="A19" s="15"/>
      <c r="B19" s="13" t="s">
        <v>53</v>
      </c>
      <c r="C19" s="13"/>
      <c r="D19" s="14">
        <v>2640270</v>
      </c>
      <c r="E19" s="14">
        <v>25</v>
      </c>
      <c r="F19" s="13" t="s">
        <v>36</v>
      </c>
      <c r="G19" s="13"/>
      <c r="H19" s="13" t="s">
        <v>23</v>
      </c>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5"/>
    </row>
    <row r="20" spans="1:36" s="16" customFormat="1" ht="78" x14ac:dyDescent="0.25">
      <c r="A20" s="15"/>
      <c r="B20" s="13" t="s">
        <v>43</v>
      </c>
      <c r="C20" s="13"/>
      <c r="D20" s="14">
        <f>3328944+883691</f>
        <v>4212635</v>
      </c>
      <c r="E20" s="14">
        <v>14</v>
      </c>
      <c r="F20" s="13" t="s">
        <v>44</v>
      </c>
      <c r="G20" s="13">
        <v>1</v>
      </c>
      <c r="H20" s="13" t="s">
        <v>22</v>
      </c>
      <c r="I20" s="13"/>
      <c r="J20" s="13"/>
      <c r="K20" s="13" t="s">
        <v>45</v>
      </c>
      <c r="L20" s="13"/>
      <c r="M20" s="13" t="s">
        <v>29</v>
      </c>
      <c r="N20" s="13"/>
      <c r="O20" s="13"/>
      <c r="P20" s="13"/>
      <c r="Q20" s="13"/>
      <c r="R20" s="13"/>
      <c r="S20" s="13"/>
      <c r="T20" s="13"/>
      <c r="U20" s="13"/>
      <c r="V20" s="13"/>
      <c r="W20" s="13"/>
      <c r="X20" s="13"/>
      <c r="Y20" s="13"/>
      <c r="Z20" s="13"/>
      <c r="AA20" s="13"/>
      <c r="AB20" s="13"/>
      <c r="AC20" s="13"/>
      <c r="AD20" s="13"/>
      <c r="AE20" s="13"/>
      <c r="AF20" s="13"/>
      <c r="AG20" s="13"/>
      <c r="AH20" s="15"/>
    </row>
    <row r="21" spans="1:36" s="16" customFormat="1" ht="78" x14ac:dyDescent="0.25">
      <c r="A21" s="15"/>
      <c r="B21" s="13" t="s">
        <v>79</v>
      </c>
      <c r="C21" s="13" t="s">
        <v>80</v>
      </c>
      <c r="D21" s="14">
        <f>2568529+464952</f>
        <v>3033481</v>
      </c>
      <c r="E21" s="14">
        <v>21</v>
      </c>
      <c r="F21" s="13" t="s">
        <v>44</v>
      </c>
      <c r="G21" s="13">
        <v>3</v>
      </c>
      <c r="H21" s="13" t="s">
        <v>22</v>
      </c>
      <c r="I21" s="13"/>
      <c r="J21" s="13"/>
      <c r="K21" s="13" t="s">
        <v>45</v>
      </c>
      <c r="L21" s="13"/>
      <c r="M21" s="13" t="s">
        <v>29</v>
      </c>
      <c r="N21" s="13"/>
      <c r="O21" s="13"/>
      <c r="P21" s="13"/>
      <c r="Q21" s="13"/>
      <c r="R21" s="13"/>
      <c r="S21" s="13"/>
      <c r="T21" s="13"/>
      <c r="U21" s="13"/>
      <c r="V21" s="13"/>
      <c r="W21" s="13"/>
      <c r="X21" s="13"/>
      <c r="Y21" s="13"/>
      <c r="Z21" s="13"/>
      <c r="AA21" s="13"/>
      <c r="AB21" s="13"/>
      <c r="AC21" s="13"/>
      <c r="AD21" s="13"/>
      <c r="AE21" s="13"/>
      <c r="AF21" s="13"/>
      <c r="AG21" s="13"/>
      <c r="AH21" s="15"/>
    </row>
    <row r="22" spans="1:36" ht="39" x14ac:dyDescent="0.25">
      <c r="B22" s="13" t="s">
        <v>38</v>
      </c>
      <c r="C22" s="13" t="s">
        <v>280</v>
      </c>
      <c r="D22" s="14">
        <v>7720559</v>
      </c>
      <c r="E22" s="14">
        <v>10</v>
      </c>
      <c r="F22" s="13" t="s">
        <v>36</v>
      </c>
      <c r="G22" s="13">
        <v>2</v>
      </c>
      <c r="H22" s="13" t="s">
        <v>23</v>
      </c>
      <c r="I22" s="13"/>
      <c r="J22" s="13" t="s">
        <v>281</v>
      </c>
      <c r="K22" s="13" t="s">
        <v>33</v>
      </c>
      <c r="L22" s="13"/>
      <c r="M22" s="13" t="s">
        <v>39</v>
      </c>
      <c r="N22" s="13"/>
      <c r="O22" s="13"/>
      <c r="P22" s="13"/>
      <c r="Q22" s="13"/>
      <c r="R22" s="13"/>
      <c r="S22" s="13"/>
      <c r="T22" s="13"/>
      <c r="U22" s="13"/>
      <c r="V22" s="13"/>
      <c r="W22" s="13"/>
      <c r="X22" s="13"/>
      <c r="Y22" s="13"/>
      <c r="Z22" s="13"/>
      <c r="AA22" s="13"/>
      <c r="AB22" s="13"/>
      <c r="AC22" s="13"/>
      <c r="AD22" s="13"/>
      <c r="AE22" s="13"/>
      <c r="AF22" s="13"/>
      <c r="AG22" s="13"/>
      <c r="AH22" s="15"/>
      <c r="AI22" s="16"/>
      <c r="AJ22" s="16"/>
    </row>
    <row r="23" spans="1:36" ht="65" x14ac:dyDescent="0.25">
      <c r="B23" s="13" t="s">
        <v>72</v>
      </c>
      <c r="C23" s="13" t="s">
        <v>282</v>
      </c>
      <c r="D23" s="14">
        <v>688202</v>
      </c>
      <c r="E23" s="14"/>
      <c r="F23" s="13" t="s">
        <v>73</v>
      </c>
      <c r="G23" s="13">
        <v>1</v>
      </c>
      <c r="H23" s="13" t="s">
        <v>23</v>
      </c>
      <c r="I23" s="13"/>
      <c r="J23" s="13" t="s">
        <v>283</v>
      </c>
      <c r="K23" s="13" t="s">
        <v>33</v>
      </c>
      <c r="L23" s="13"/>
      <c r="M23" s="13" t="s">
        <v>74</v>
      </c>
      <c r="N23" s="13"/>
      <c r="O23" s="13"/>
      <c r="P23" s="13"/>
      <c r="Q23" s="13"/>
      <c r="R23" s="13"/>
      <c r="S23" s="13"/>
      <c r="T23" s="13"/>
      <c r="U23" s="13"/>
      <c r="V23" s="13"/>
      <c r="W23" s="13"/>
      <c r="X23" s="13"/>
      <c r="Y23" s="13"/>
      <c r="Z23" s="13"/>
      <c r="AA23" s="13"/>
      <c r="AB23" s="13"/>
      <c r="AC23" s="13"/>
      <c r="AD23" s="13"/>
      <c r="AE23" s="13"/>
      <c r="AF23" s="13"/>
      <c r="AG23" s="13"/>
      <c r="AH23" s="15"/>
      <c r="AI23" s="16"/>
      <c r="AJ23" s="16"/>
    </row>
    <row r="24" spans="1:36" ht="39" x14ac:dyDescent="0.25">
      <c r="B24" s="13" t="s">
        <v>76</v>
      </c>
      <c r="C24" s="13" t="s">
        <v>284</v>
      </c>
      <c r="D24" s="14">
        <v>555128</v>
      </c>
      <c r="E24" s="14"/>
      <c r="F24" s="13" t="s">
        <v>77</v>
      </c>
      <c r="G24" s="13">
        <v>1</v>
      </c>
      <c r="H24" s="13" t="s">
        <v>23</v>
      </c>
      <c r="I24" s="13"/>
      <c r="J24" s="13" t="s">
        <v>285</v>
      </c>
      <c r="K24" s="13"/>
      <c r="L24" s="13"/>
      <c r="M24" s="13"/>
      <c r="N24" s="13"/>
      <c r="O24" s="13"/>
      <c r="P24" s="13"/>
      <c r="Q24" s="13"/>
      <c r="R24" s="13"/>
      <c r="S24" s="13"/>
      <c r="T24" s="13"/>
      <c r="U24" s="13"/>
      <c r="V24" s="13"/>
      <c r="W24" s="13"/>
      <c r="X24" s="13"/>
      <c r="Y24" s="13"/>
      <c r="Z24" s="13"/>
      <c r="AA24" s="13"/>
      <c r="AB24" s="13"/>
      <c r="AC24" s="13"/>
      <c r="AD24" s="13"/>
      <c r="AE24" s="13"/>
      <c r="AF24" s="13"/>
      <c r="AG24" s="13"/>
      <c r="AH24" s="15"/>
      <c r="AI24" s="16"/>
      <c r="AJ24" s="16"/>
    </row>
    <row r="25" spans="1:36" ht="39" x14ac:dyDescent="0.25">
      <c r="B25" s="13" t="s">
        <v>64</v>
      </c>
      <c r="C25" s="13" t="s">
        <v>286</v>
      </c>
      <c r="D25" s="14">
        <v>3565429</v>
      </c>
      <c r="E25" s="14">
        <v>16</v>
      </c>
      <c r="F25" s="13" t="s">
        <v>55</v>
      </c>
      <c r="G25" s="13">
        <v>1</v>
      </c>
      <c r="H25" s="13" t="s">
        <v>30</v>
      </c>
      <c r="I25" s="13"/>
      <c r="J25" s="13" t="s">
        <v>287</v>
      </c>
      <c r="K25" s="13" t="s">
        <v>33</v>
      </c>
      <c r="L25" s="13"/>
      <c r="M25" s="13"/>
      <c r="N25" s="13"/>
      <c r="O25" s="13"/>
      <c r="P25" s="13"/>
      <c r="Q25" s="13"/>
      <c r="R25" s="13"/>
      <c r="S25" s="13"/>
      <c r="T25" s="13"/>
      <c r="U25" s="13"/>
      <c r="V25" s="13"/>
      <c r="W25" s="13"/>
      <c r="X25" s="13"/>
      <c r="Y25" s="13"/>
      <c r="Z25" s="13"/>
      <c r="AA25" s="13"/>
      <c r="AB25" s="13"/>
      <c r="AC25" s="13"/>
      <c r="AD25" s="13"/>
      <c r="AE25" s="13"/>
      <c r="AF25" s="13"/>
      <c r="AG25" s="13"/>
      <c r="AH25" s="15"/>
      <c r="AI25" s="16"/>
      <c r="AJ25" s="16"/>
    </row>
    <row r="26" spans="1:36" ht="26" x14ac:dyDescent="0.25">
      <c r="B26" s="13" t="s">
        <v>49</v>
      </c>
      <c r="C26" s="13" t="s">
        <v>50</v>
      </c>
      <c r="D26" s="14">
        <f>2162517+687899</f>
        <v>2850416</v>
      </c>
      <c r="E26" s="14">
        <v>22</v>
      </c>
      <c r="F26" s="13" t="s">
        <v>44</v>
      </c>
      <c r="G26" s="13"/>
      <c r="H26" s="13" t="s">
        <v>23</v>
      </c>
      <c r="I26" s="13"/>
      <c r="J26" s="13" t="s">
        <v>288</v>
      </c>
      <c r="K26" s="13" t="s">
        <v>45</v>
      </c>
      <c r="L26" s="13"/>
      <c r="M26" s="13" t="s">
        <v>51</v>
      </c>
      <c r="N26" s="13"/>
      <c r="O26" s="13"/>
      <c r="P26" s="13"/>
      <c r="Q26" s="13"/>
      <c r="R26" s="13"/>
      <c r="S26" s="13"/>
      <c r="T26" s="13"/>
      <c r="U26" s="13"/>
      <c r="V26" s="13"/>
      <c r="W26" s="13"/>
      <c r="X26" s="13"/>
      <c r="Y26" s="13"/>
      <c r="Z26" s="13"/>
      <c r="AA26" s="13"/>
      <c r="AB26" s="13"/>
      <c r="AC26" s="13"/>
      <c r="AD26" s="13"/>
      <c r="AE26" s="13"/>
      <c r="AF26" s="13"/>
      <c r="AG26" s="13"/>
      <c r="AH26" s="15"/>
      <c r="AI26" s="16"/>
      <c r="AJ26" s="16"/>
    </row>
    <row r="27" spans="1:36" s="2" customFormat="1" ht="52" x14ac:dyDescent="0.25">
      <c r="A27" s="5"/>
      <c r="B27" s="13" t="s">
        <v>59</v>
      </c>
      <c r="C27" s="13" t="s">
        <v>289</v>
      </c>
      <c r="D27" s="14">
        <v>1394308</v>
      </c>
      <c r="E27" s="14"/>
      <c r="F27" s="13" t="s">
        <v>57</v>
      </c>
      <c r="G27" s="13">
        <v>3</v>
      </c>
      <c r="H27" s="13" t="s">
        <v>23</v>
      </c>
      <c r="I27" s="13"/>
      <c r="J27" s="13" t="s">
        <v>290</v>
      </c>
      <c r="K27" s="13" t="s">
        <v>33</v>
      </c>
      <c r="L27" s="13"/>
      <c r="M27" s="13"/>
      <c r="N27" s="13"/>
      <c r="O27" s="13"/>
      <c r="P27" s="13"/>
      <c r="Q27" s="13"/>
      <c r="R27" s="13"/>
      <c r="S27" s="13"/>
      <c r="T27" s="13"/>
      <c r="U27" s="13"/>
      <c r="V27" s="13"/>
      <c r="W27" s="13"/>
      <c r="X27" s="13"/>
      <c r="Y27" s="13"/>
      <c r="Z27" s="13"/>
      <c r="AA27" s="13"/>
      <c r="AB27" s="13"/>
      <c r="AC27" s="13"/>
      <c r="AD27" s="13"/>
      <c r="AE27" s="13"/>
      <c r="AF27" s="13"/>
      <c r="AG27" s="13"/>
      <c r="AH27" s="15"/>
      <c r="AI27" s="16"/>
      <c r="AJ27" s="16"/>
    </row>
  </sheetData>
  <sortState xmlns:xlrd2="http://schemas.microsoft.com/office/spreadsheetml/2017/richdata2" ref="B2:AJ11">
    <sortCondition descending="1" ref="D2:D11"/>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AE58-2643-47AF-B1B4-2584369FC32B}">
  <sheetPr>
    <outlinePr summaryBelow="0"/>
  </sheetPr>
  <dimension ref="A1:K377"/>
  <sheetViews>
    <sheetView tabSelected="1" zoomScaleNormal="100" workbookViewId="0">
      <selection activeCell="I35" sqref="I35"/>
    </sheetView>
  </sheetViews>
  <sheetFormatPr defaultColWidth="9.1796875" defaultRowHeight="12.5" outlineLevelRow="4" x14ac:dyDescent="0.25"/>
  <cols>
    <col min="1" max="1" width="6" style="17" customWidth="1"/>
    <col min="2" max="2" width="10.453125" style="17" customWidth="1"/>
    <col min="3" max="3" width="8.54296875" style="17" customWidth="1"/>
    <col min="4" max="4" width="11.453125" style="17" customWidth="1"/>
    <col min="5" max="5" width="12" style="17" customWidth="1"/>
    <col min="6" max="6" width="42.81640625" style="17" customWidth="1"/>
    <col min="7" max="7" width="4.54296875" style="5" customWidth="1"/>
    <col min="8" max="8" width="23.81640625" style="17" customWidth="1"/>
    <col min="9" max="10" width="9.1796875" style="17"/>
    <col min="11" max="11" width="95.453125" style="4" customWidth="1"/>
    <col min="12" max="12" width="49.1796875" style="17" customWidth="1"/>
    <col min="13" max="16384" width="9.1796875" style="17"/>
  </cols>
  <sheetData>
    <row r="1" spans="1:11" ht="13" x14ac:dyDescent="0.25">
      <c r="B1" s="21" t="s">
        <v>291</v>
      </c>
    </row>
    <row r="2" spans="1:11" x14ac:dyDescent="0.25">
      <c r="B2" s="17" t="s">
        <v>292</v>
      </c>
    </row>
    <row r="3" spans="1:11" x14ac:dyDescent="0.25">
      <c r="B3" s="17" t="s">
        <v>293</v>
      </c>
    </row>
    <row r="4" spans="1:11" x14ac:dyDescent="0.25">
      <c r="B4" s="17" t="s">
        <v>294</v>
      </c>
    </row>
    <row r="5" spans="1:11" x14ac:dyDescent="0.25">
      <c r="B5" s="17" t="s">
        <v>295</v>
      </c>
    </row>
    <row r="6" spans="1:11" x14ac:dyDescent="0.25">
      <c r="B6" s="17" t="s">
        <v>296</v>
      </c>
    </row>
    <row r="7" spans="1:11" s="22" customFormat="1" ht="13" x14ac:dyDescent="0.25">
      <c r="A7" s="22" t="s">
        <v>297</v>
      </c>
      <c r="G7" s="24"/>
      <c r="K7" s="23"/>
    </row>
    <row r="8" spans="1:11" x14ac:dyDescent="0.25">
      <c r="A8" s="17" t="s">
        <v>86</v>
      </c>
      <c r="K8" s="17"/>
    </row>
    <row r="9" spans="1:11" ht="13" x14ac:dyDescent="0.25">
      <c r="B9" s="21" t="s">
        <v>87</v>
      </c>
      <c r="G9" s="5" t="s">
        <v>298</v>
      </c>
    </row>
    <row r="10" spans="1:11" ht="13" outlineLevel="1" x14ac:dyDescent="0.25">
      <c r="C10" s="21" t="s">
        <v>88</v>
      </c>
      <c r="G10" s="5">
        <v>5</v>
      </c>
    </row>
    <row r="11" spans="1:11" ht="13" outlineLevel="2" x14ac:dyDescent="0.25">
      <c r="D11" s="21" t="s">
        <v>227</v>
      </c>
    </row>
    <row r="12" spans="1:11" outlineLevel="3" x14ac:dyDescent="0.25">
      <c r="E12" s="17" t="s">
        <v>299</v>
      </c>
    </row>
    <row r="13" spans="1:11" outlineLevel="4" x14ac:dyDescent="0.25">
      <c r="F13" s="17" t="s">
        <v>89</v>
      </c>
    </row>
    <row r="14" spans="1:11" outlineLevel="4" x14ac:dyDescent="0.25">
      <c r="F14" s="17" t="s">
        <v>90</v>
      </c>
    </row>
    <row r="15" spans="1:11" outlineLevel="4" x14ac:dyDescent="0.25">
      <c r="F15" s="17" t="s">
        <v>62</v>
      </c>
    </row>
    <row r="16" spans="1:11" outlineLevel="4" x14ac:dyDescent="0.25">
      <c r="F16" s="17" t="s">
        <v>300</v>
      </c>
    </row>
    <row r="17" spans="5:7" outlineLevel="4" x14ac:dyDescent="0.25">
      <c r="F17" s="17" t="s">
        <v>91</v>
      </c>
    </row>
    <row r="18" spans="5:7" outlineLevel="4" x14ac:dyDescent="0.25">
      <c r="F18" s="17" t="s">
        <v>92</v>
      </c>
    </row>
    <row r="19" spans="5:7" outlineLevel="4" x14ac:dyDescent="0.25">
      <c r="F19" s="17" t="s">
        <v>228</v>
      </c>
    </row>
    <row r="20" spans="5:7" outlineLevel="4" x14ac:dyDescent="0.25">
      <c r="F20" s="17" t="s">
        <v>61</v>
      </c>
    </row>
    <row r="21" spans="5:7" ht="13" outlineLevel="3" x14ac:dyDescent="0.25">
      <c r="E21" s="21" t="s">
        <v>301</v>
      </c>
    </row>
    <row r="22" spans="5:7" outlineLevel="4" x14ac:dyDescent="0.25">
      <c r="F22" s="17" t="s">
        <v>94</v>
      </c>
    </row>
    <row r="23" spans="5:7" outlineLevel="4" x14ac:dyDescent="0.25">
      <c r="F23" s="17" t="s">
        <v>95</v>
      </c>
    </row>
    <row r="24" spans="5:7" outlineLevel="4" x14ac:dyDescent="0.25">
      <c r="F24" s="17" t="s">
        <v>96</v>
      </c>
    </row>
    <row r="25" spans="5:7" outlineLevel="4" x14ac:dyDescent="0.25">
      <c r="F25" s="17" t="s">
        <v>97</v>
      </c>
    </row>
    <row r="26" spans="5:7" outlineLevel="4" x14ac:dyDescent="0.25">
      <c r="F26" s="17" t="s">
        <v>98</v>
      </c>
    </row>
    <row r="27" spans="5:7" ht="13" outlineLevel="4" x14ac:dyDescent="0.25">
      <c r="F27" s="21" t="s">
        <v>99</v>
      </c>
      <c r="G27" s="5">
        <v>5</v>
      </c>
    </row>
    <row r="28" spans="5:7" outlineLevel="4" x14ac:dyDescent="0.25">
      <c r="F28" s="17" t="s">
        <v>63</v>
      </c>
    </row>
    <row r="29" spans="5:7" outlineLevel="4" x14ac:dyDescent="0.25">
      <c r="F29" s="17" t="s">
        <v>100</v>
      </c>
    </row>
    <row r="30" spans="5:7" outlineLevel="4" x14ac:dyDescent="0.25">
      <c r="F30" s="17" t="s">
        <v>101</v>
      </c>
    </row>
    <row r="31" spans="5:7" outlineLevel="4" x14ac:dyDescent="0.25">
      <c r="F31" s="17" t="s">
        <v>102</v>
      </c>
    </row>
    <row r="32" spans="5:7" outlineLevel="3" x14ac:dyDescent="0.25">
      <c r="E32" s="17" t="s">
        <v>179</v>
      </c>
    </row>
    <row r="33" spans="4:11" outlineLevel="4" x14ac:dyDescent="0.25">
      <c r="F33" s="17" t="s">
        <v>302</v>
      </c>
    </row>
    <row r="34" spans="4:11" outlineLevel="4" x14ac:dyDescent="0.25">
      <c r="F34" s="17" t="s">
        <v>105</v>
      </c>
    </row>
    <row r="35" spans="4:11" outlineLevel="4" x14ac:dyDescent="0.25">
      <c r="F35" s="17" t="s">
        <v>303</v>
      </c>
    </row>
    <row r="36" spans="4:11" outlineLevel="4" x14ac:dyDescent="0.25">
      <c r="F36" s="17" t="s">
        <v>304</v>
      </c>
    </row>
    <row r="37" spans="4:11" outlineLevel="4" x14ac:dyDescent="0.25">
      <c r="F37" s="17" t="s">
        <v>305</v>
      </c>
    </row>
    <row r="38" spans="4:11" outlineLevel="4" x14ac:dyDescent="0.25">
      <c r="F38" s="17" t="s">
        <v>60</v>
      </c>
    </row>
    <row r="39" spans="4:11" outlineLevel="4" x14ac:dyDescent="0.25">
      <c r="F39" s="17" t="s">
        <v>306</v>
      </c>
    </row>
    <row r="40" spans="4:11" outlineLevel="4" x14ac:dyDescent="0.25">
      <c r="F40" s="17" t="s">
        <v>307</v>
      </c>
    </row>
    <row r="41" spans="4:11" outlineLevel="4" x14ac:dyDescent="0.25">
      <c r="F41" s="17" t="s">
        <v>308</v>
      </c>
    </row>
    <row r="42" spans="4:11" outlineLevel="4" x14ac:dyDescent="0.25">
      <c r="F42" s="17" t="s">
        <v>106</v>
      </c>
    </row>
    <row r="43" spans="4:11" outlineLevel="4" x14ac:dyDescent="0.25">
      <c r="F43" s="17" t="s">
        <v>107</v>
      </c>
    </row>
    <row r="44" spans="4:11" outlineLevel="2" x14ac:dyDescent="0.25">
      <c r="D44" s="17" t="s">
        <v>229</v>
      </c>
      <c r="K44" s="17"/>
    </row>
    <row r="45" spans="4:11" outlineLevel="2" x14ac:dyDescent="0.25">
      <c r="D45" s="17" t="s">
        <v>89</v>
      </c>
    </row>
    <row r="46" spans="4:11" outlineLevel="2" x14ac:dyDescent="0.25">
      <c r="D46" s="17" t="s">
        <v>62</v>
      </c>
    </row>
    <row r="47" spans="4:11" outlineLevel="2" x14ac:dyDescent="0.25">
      <c r="D47" s="17" t="s">
        <v>228</v>
      </c>
    </row>
    <row r="48" spans="4:11" outlineLevel="2" x14ac:dyDescent="0.25">
      <c r="D48" s="17" t="s">
        <v>95</v>
      </c>
    </row>
    <row r="49" spans="3:7" outlineLevel="2" x14ac:dyDescent="0.25">
      <c r="D49" s="17" t="s">
        <v>96</v>
      </c>
    </row>
    <row r="50" spans="3:7" outlineLevel="2" x14ac:dyDescent="0.25">
      <c r="D50" s="17" t="s">
        <v>97</v>
      </c>
    </row>
    <row r="51" spans="3:7" outlineLevel="2" x14ac:dyDescent="0.25">
      <c r="D51" s="17" t="s">
        <v>98</v>
      </c>
    </row>
    <row r="52" spans="3:7" ht="13" outlineLevel="2" x14ac:dyDescent="0.25">
      <c r="D52" s="21" t="s">
        <v>99</v>
      </c>
      <c r="G52" s="5">
        <v>5</v>
      </c>
    </row>
    <row r="53" spans="3:7" ht="13" outlineLevel="1" collapsed="1" x14ac:dyDescent="0.25">
      <c r="C53" s="21" t="s">
        <v>36</v>
      </c>
      <c r="G53" s="5" t="s">
        <v>309</v>
      </c>
    </row>
    <row r="54" spans="3:7" ht="13" hidden="1" outlineLevel="2" collapsed="1" x14ac:dyDescent="0.25">
      <c r="D54" s="21" t="s">
        <v>230</v>
      </c>
    </row>
    <row r="55" spans="3:7" hidden="1" outlineLevel="3" x14ac:dyDescent="0.25">
      <c r="E55" s="17" t="s">
        <v>310</v>
      </c>
    </row>
    <row r="56" spans="3:7" hidden="1" outlineLevel="4" x14ac:dyDescent="0.25">
      <c r="F56" s="17" t="s">
        <v>90</v>
      </c>
    </row>
    <row r="57" spans="3:7" hidden="1" outlineLevel="4" x14ac:dyDescent="0.25">
      <c r="F57" s="17" t="s">
        <v>108</v>
      </c>
    </row>
    <row r="58" spans="3:7" hidden="1" outlineLevel="4" x14ac:dyDescent="0.25">
      <c r="F58" s="17" t="s">
        <v>110</v>
      </c>
    </row>
    <row r="59" spans="3:7" hidden="1" outlineLevel="4" x14ac:dyDescent="0.25">
      <c r="F59" s="17" t="s">
        <v>111</v>
      </c>
    </row>
    <row r="60" spans="3:7" ht="13" hidden="1" outlineLevel="3" x14ac:dyDescent="0.25">
      <c r="E60" s="21" t="s">
        <v>311</v>
      </c>
    </row>
    <row r="61" spans="3:7" hidden="1" outlineLevel="4" x14ac:dyDescent="0.25">
      <c r="F61" s="17" t="s">
        <v>112</v>
      </c>
    </row>
    <row r="62" spans="3:7" ht="13" hidden="1" outlineLevel="4" x14ac:dyDescent="0.25">
      <c r="F62" s="21" t="s">
        <v>113</v>
      </c>
      <c r="G62" s="5">
        <v>3</v>
      </c>
    </row>
    <row r="63" spans="3:7" hidden="1" outlineLevel="4" x14ac:dyDescent="0.25">
      <c r="F63" s="17" t="s">
        <v>120</v>
      </c>
    </row>
    <row r="64" spans="3:7" hidden="1" outlineLevel="4" x14ac:dyDescent="0.25">
      <c r="F64" s="17" t="s">
        <v>114</v>
      </c>
    </row>
    <row r="65" spans="4:7" hidden="1" outlineLevel="4" x14ac:dyDescent="0.25">
      <c r="F65" s="17" t="s">
        <v>103</v>
      </c>
    </row>
    <row r="66" spans="4:7" ht="13" hidden="1" outlineLevel="4" x14ac:dyDescent="0.25">
      <c r="F66" s="21" t="s">
        <v>115</v>
      </c>
      <c r="G66" s="5">
        <v>6</v>
      </c>
    </row>
    <row r="67" spans="4:7" hidden="1" outlineLevel="4" x14ac:dyDescent="0.25">
      <c r="F67" s="17" t="s">
        <v>116</v>
      </c>
    </row>
    <row r="68" spans="4:7" hidden="1" outlineLevel="4" x14ac:dyDescent="0.25">
      <c r="F68" s="17" t="s">
        <v>117</v>
      </c>
    </row>
    <row r="69" spans="4:7" hidden="1" outlineLevel="4" x14ac:dyDescent="0.25">
      <c r="F69" s="17" t="s">
        <v>109</v>
      </c>
    </row>
    <row r="70" spans="4:7" hidden="1" outlineLevel="4" x14ac:dyDescent="0.25">
      <c r="F70" s="17" t="s">
        <v>118</v>
      </c>
    </row>
    <row r="71" spans="4:7" hidden="1" outlineLevel="4" x14ac:dyDescent="0.25">
      <c r="F71" s="17" t="s">
        <v>97</v>
      </c>
    </row>
    <row r="72" spans="4:7" hidden="1" outlineLevel="4" x14ac:dyDescent="0.25">
      <c r="F72" s="17" t="s">
        <v>119</v>
      </c>
    </row>
    <row r="73" spans="4:7" hidden="1" outlineLevel="3" x14ac:dyDescent="0.25">
      <c r="E73" s="17" t="s">
        <v>179</v>
      </c>
    </row>
    <row r="74" spans="4:7" hidden="1" outlineLevel="4" x14ac:dyDescent="0.25">
      <c r="F74" s="17" t="s">
        <v>121</v>
      </c>
    </row>
    <row r="75" spans="4:7" hidden="1" outlineLevel="4" x14ac:dyDescent="0.25">
      <c r="F75" s="17" t="s">
        <v>82</v>
      </c>
    </row>
    <row r="76" spans="4:7" hidden="1" outlineLevel="4" x14ac:dyDescent="0.25">
      <c r="F76" s="17" t="s">
        <v>122</v>
      </c>
    </row>
    <row r="77" spans="4:7" hidden="1" outlineLevel="4" x14ac:dyDescent="0.25">
      <c r="F77" s="17" t="s">
        <v>123</v>
      </c>
    </row>
    <row r="78" spans="4:7" hidden="1" outlineLevel="4" x14ac:dyDescent="0.25">
      <c r="F78" s="17" t="s">
        <v>124</v>
      </c>
    </row>
    <row r="79" spans="4:7" hidden="1" outlineLevel="2" x14ac:dyDescent="0.25">
      <c r="D79" s="17" t="s">
        <v>110</v>
      </c>
    </row>
    <row r="80" spans="4:7" hidden="1" outlineLevel="2" x14ac:dyDescent="0.25">
      <c r="D80" s="17" t="s">
        <v>90</v>
      </c>
    </row>
    <row r="81" spans="3:7" hidden="1" outlineLevel="2" x14ac:dyDescent="0.25">
      <c r="D81" s="17" t="s">
        <v>108</v>
      </c>
    </row>
    <row r="82" spans="3:7" hidden="1" outlineLevel="2" x14ac:dyDescent="0.25">
      <c r="D82" s="17" t="s">
        <v>169</v>
      </c>
    </row>
    <row r="83" spans="3:7" ht="13" hidden="1" outlineLevel="2" x14ac:dyDescent="0.25">
      <c r="D83" s="21" t="s">
        <v>112</v>
      </c>
      <c r="G83" s="5">
        <v>1</v>
      </c>
    </row>
    <row r="84" spans="3:7" hidden="1" outlineLevel="2" x14ac:dyDescent="0.25">
      <c r="D84" s="17" t="s">
        <v>312</v>
      </c>
    </row>
    <row r="85" spans="3:7" hidden="1" outlineLevel="2" x14ac:dyDescent="0.25">
      <c r="D85" s="17" t="s">
        <v>313</v>
      </c>
    </row>
    <row r="86" spans="3:7" hidden="1" outlineLevel="2" x14ac:dyDescent="0.25">
      <c r="D86" s="17" t="s">
        <v>314</v>
      </c>
    </row>
    <row r="87" spans="3:7" hidden="1" outlineLevel="2" x14ac:dyDescent="0.25">
      <c r="D87" s="17" t="s">
        <v>315</v>
      </c>
    </row>
    <row r="88" spans="3:7" ht="13" outlineLevel="1" collapsed="1" x14ac:dyDescent="0.25">
      <c r="C88" s="21" t="s">
        <v>125</v>
      </c>
      <c r="G88" s="5" t="s">
        <v>316</v>
      </c>
    </row>
    <row r="89" spans="3:7" ht="13" hidden="1" outlineLevel="2" x14ac:dyDescent="0.25">
      <c r="D89" s="21" t="s">
        <v>232</v>
      </c>
    </row>
    <row r="90" spans="3:7" ht="13" hidden="1" outlineLevel="3" collapsed="1" x14ac:dyDescent="0.25">
      <c r="E90" s="21" t="s">
        <v>317</v>
      </c>
    </row>
    <row r="91" spans="3:7" hidden="1" outlineLevel="4" x14ac:dyDescent="0.25">
      <c r="F91" s="17" t="s">
        <v>71</v>
      </c>
    </row>
    <row r="92" spans="3:7" hidden="1" outlineLevel="4" x14ac:dyDescent="0.25">
      <c r="F92" s="17" t="s">
        <v>90</v>
      </c>
    </row>
    <row r="93" spans="3:7" ht="13" hidden="1" outlineLevel="4" x14ac:dyDescent="0.25">
      <c r="F93" s="21" t="s">
        <v>58</v>
      </c>
      <c r="G93" s="5">
        <v>7</v>
      </c>
    </row>
    <row r="94" spans="3:7" hidden="1" outlineLevel="4" x14ac:dyDescent="0.25">
      <c r="F94" s="17" t="s">
        <v>91</v>
      </c>
    </row>
    <row r="95" spans="3:7" ht="13" hidden="1" outlineLevel="4" x14ac:dyDescent="0.25">
      <c r="F95" s="21" t="s">
        <v>318</v>
      </c>
      <c r="G95" s="5">
        <v>10</v>
      </c>
    </row>
    <row r="96" spans="3:7" hidden="1" outlineLevel="4" x14ac:dyDescent="0.25">
      <c r="F96" s="17" t="s">
        <v>319</v>
      </c>
    </row>
    <row r="97" spans="5:7" hidden="1" outlineLevel="4" x14ac:dyDescent="0.25">
      <c r="F97" s="17" t="s">
        <v>126</v>
      </c>
    </row>
    <row r="98" spans="5:7" ht="13" hidden="1" outlineLevel="3" collapsed="1" x14ac:dyDescent="0.25">
      <c r="E98" s="21" t="s">
        <v>93</v>
      </c>
    </row>
    <row r="99" spans="5:7" ht="13" hidden="1" outlineLevel="4" x14ac:dyDescent="0.25">
      <c r="F99" s="21" t="s">
        <v>127</v>
      </c>
      <c r="G99" s="5">
        <v>2</v>
      </c>
    </row>
    <row r="100" spans="5:7" hidden="1" outlineLevel="4" x14ac:dyDescent="0.25">
      <c r="F100" s="17" t="s">
        <v>128</v>
      </c>
    </row>
    <row r="101" spans="5:7" hidden="1" outlineLevel="4" x14ac:dyDescent="0.25">
      <c r="F101" s="17" t="s">
        <v>129</v>
      </c>
    </row>
    <row r="102" spans="5:7" hidden="1" outlineLevel="4" x14ac:dyDescent="0.25">
      <c r="F102" s="17" t="s">
        <v>131</v>
      </c>
    </row>
    <row r="103" spans="5:7" hidden="1" outlineLevel="4" x14ac:dyDescent="0.25">
      <c r="F103" s="17" t="s">
        <v>130</v>
      </c>
    </row>
    <row r="104" spans="5:7" hidden="1" outlineLevel="4" x14ac:dyDescent="0.25">
      <c r="F104" s="17" t="s">
        <v>174</v>
      </c>
    </row>
    <row r="105" spans="5:7" hidden="1" outlineLevel="4" x14ac:dyDescent="0.25">
      <c r="F105" s="17" t="s">
        <v>118</v>
      </c>
    </row>
    <row r="106" spans="5:7" hidden="1" outlineLevel="4" x14ac:dyDescent="0.25">
      <c r="F106" s="17" t="s">
        <v>132</v>
      </c>
    </row>
    <row r="107" spans="5:7" hidden="1" outlineLevel="3" collapsed="1" x14ac:dyDescent="0.25">
      <c r="E107" s="17" t="s">
        <v>179</v>
      </c>
    </row>
    <row r="108" spans="5:7" hidden="1" outlineLevel="4" x14ac:dyDescent="0.25">
      <c r="F108" s="17" t="s">
        <v>78</v>
      </c>
    </row>
    <row r="109" spans="5:7" hidden="1" outlineLevel="4" x14ac:dyDescent="0.25">
      <c r="F109" s="17" t="s">
        <v>175</v>
      </c>
    </row>
    <row r="110" spans="5:7" hidden="1" outlineLevel="4" x14ac:dyDescent="0.25">
      <c r="F110" s="17" t="s">
        <v>133</v>
      </c>
    </row>
    <row r="111" spans="5:7" hidden="1" outlineLevel="4" x14ac:dyDescent="0.25">
      <c r="F111" s="17" t="s">
        <v>134</v>
      </c>
    </row>
    <row r="112" spans="5:7" hidden="1" outlineLevel="4" x14ac:dyDescent="0.25">
      <c r="F112" s="17" t="s">
        <v>135</v>
      </c>
    </row>
    <row r="113" spans="3:7" hidden="1" outlineLevel="4" x14ac:dyDescent="0.25">
      <c r="F113" s="17" t="s">
        <v>320</v>
      </c>
    </row>
    <row r="114" spans="3:7" hidden="1" outlineLevel="4" x14ac:dyDescent="0.25">
      <c r="F114" s="17" t="s">
        <v>321</v>
      </c>
    </row>
    <row r="115" spans="3:7" hidden="1" outlineLevel="4" x14ac:dyDescent="0.25">
      <c r="F115" s="17" t="s">
        <v>322</v>
      </c>
    </row>
    <row r="116" spans="3:7" hidden="1" outlineLevel="4" x14ac:dyDescent="0.25">
      <c r="F116" s="17" t="s">
        <v>323</v>
      </c>
    </row>
    <row r="117" spans="3:7" hidden="1" outlineLevel="4" x14ac:dyDescent="0.25">
      <c r="F117" s="17" t="s">
        <v>324</v>
      </c>
    </row>
    <row r="118" spans="3:7" hidden="1" outlineLevel="2" x14ac:dyDescent="0.25">
      <c r="D118" s="17" t="s">
        <v>71</v>
      </c>
    </row>
    <row r="119" spans="3:7" hidden="1" outlineLevel="2" x14ac:dyDescent="0.25">
      <c r="D119" s="17" t="s">
        <v>90</v>
      </c>
    </row>
    <row r="120" spans="3:7" ht="13" hidden="1" outlineLevel="2" x14ac:dyDescent="0.25">
      <c r="D120" s="21" t="s">
        <v>62</v>
      </c>
      <c r="G120" s="5">
        <v>7</v>
      </c>
    </row>
    <row r="121" spans="3:7" ht="13" hidden="1" outlineLevel="2" x14ac:dyDescent="0.25">
      <c r="D121" s="21" t="s">
        <v>318</v>
      </c>
      <c r="G121" s="5">
        <v>10</v>
      </c>
    </row>
    <row r="122" spans="3:7" hidden="1" outlineLevel="2" x14ac:dyDescent="0.25">
      <c r="D122" s="17" t="s">
        <v>233</v>
      </c>
    </row>
    <row r="123" spans="3:7" ht="13" hidden="1" outlineLevel="2" x14ac:dyDescent="0.25">
      <c r="D123" s="21" t="s">
        <v>127</v>
      </c>
      <c r="G123" s="5">
        <v>2</v>
      </c>
    </row>
    <row r="124" spans="3:7" hidden="1" outlineLevel="2" x14ac:dyDescent="0.25">
      <c r="D124" s="17" t="s">
        <v>128</v>
      </c>
    </row>
    <row r="125" spans="3:7" hidden="1" outlineLevel="2" x14ac:dyDescent="0.25">
      <c r="D125" s="17" t="s">
        <v>130</v>
      </c>
    </row>
    <row r="126" spans="3:7" hidden="1" outlineLevel="2" x14ac:dyDescent="0.25">
      <c r="D126" s="17" t="s">
        <v>129</v>
      </c>
    </row>
    <row r="127" spans="3:7" hidden="1" outlineLevel="2" x14ac:dyDescent="0.25">
      <c r="D127" s="17" t="s">
        <v>170</v>
      </c>
    </row>
    <row r="128" spans="3:7" ht="13" outlineLevel="1" collapsed="1" x14ac:dyDescent="0.25">
      <c r="C128" s="21" t="s">
        <v>136</v>
      </c>
      <c r="G128" s="5">
        <v>10</v>
      </c>
    </row>
    <row r="129" spans="4:7" hidden="1" outlineLevel="2" x14ac:dyDescent="0.25">
      <c r="D129" s="17" t="s">
        <v>234</v>
      </c>
    </row>
    <row r="130" spans="4:7" hidden="1" outlineLevel="3" x14ac:dyDescent="0.25">
      <c r="E130" s="17" t="s">
        <v>325</v>
      </c>
    </row>
    <row r="131" spans="4:7" ht="13" hidden="1" outlineLevel="4" x14ac:dyDescent="0.25">
      <c r="F131" s="21" t="s">
        <v>326</v>
      </c>
      <c r="G131" s="5">
        <v>10</v>
      </c>
    </row>
    <row r="132" spans="4:7" hidden="1" outlineLevel="4" x14ac:dyDescent="0.25">
      <c r="F132" s="17" t="s">
        <v>327</v>
      </c>
    </row>
    <row r="133" spans="4:7" hidden="1" outlineLevel="4" x14ac:dyDescent="0.25">
      <c r="F133" s="17" t="s">
        <v>328</v>
      </c>
    </row>
    <row r="134" spans="4:7" hidden="1" outlineLevel="4" x14ac:dyDescent="0.25">
      <c r="F134" s="17" t="s">
        <v>329</v>
      </c>
    </row>
    <row r="135" spans="4:7" hidden="1" outlineLevel="4" x14ac:dyDescent="0.25">
      <c r="F135" s="17" t="s">
        <v>330</v>
      </c>
    </row>
    <row r="136" spans="4:7" hidden="1" outlineLevel="4" x14ac:dyDescent="0.25">
      <c r="F136" s="17" t="s">
        <v>331</v>
      </c>
    </row>
    <row r="137" spans="4:7" hidden="1" outlineLevel="3" x14ac:dyDescent="0.25">
      <c r="E137" s="17" t="s">
        <v>332</v>
      </c>
    </row>
    <row r="138" spans="4:7" hidden="1" outlineLevel="4" x14ac:dyDescent="0.25">
      <c r="F138" s="17" t="s">
        <v>333</v>
      </c>
    </row>
    <row r="139" spans="4:7" hidden="1" outlineLevel="4" x14ac:dyDescent="0.25">
      <c r="F139" s="17" t="s">
        <v>334</v>
      </c>
    </row>
    <row r="140" spans="4:7" hidden="1" outlineLevel="4" x14ac:dyDescent="0.25">
      <c r="F140" s="17" t="s">
        <v>335</v>
      </c>
    </row>
    <row r="141" spans="4:7" hidden="1" outlineLevel="4" x14ac:dyDescent="0.25">
      <c r="F141" s="17" t="s">
        <v>336</v>
      </c>
    </row>
    <row r="142" spans="4:7" hidden="1" outlineLevel="4" x14ac:dyDescent="0.25">
      <c r="F142" s="17" t="s">
        <v>337</v>
      </c>
    </row>
    <row r="143" spans="4:7" hidden="1" outlineLevel="3" x14ac:dyDescent="0.25">
      <c r="E143" s="17" t="s">
        <v>104</v>
      </c>
    </row>
    <row r="144" spans="4:7" hidden="1" outlineLevel="4" x14ac:dyDescent="0.25">
      <c r="F144" s="17" t="s">
        <v>142</v>
      </c>
    </row>
    <row r="145" spans="3:7" hidden="1" outlineLevel="4" x14ac:dyDescent="0.25">
      <c r="F145" s="17" t="s">
        <v>338</v>
      </c>
    </row>
    <row r="146" spans="3:7" hidden="1" outlineLevel="4" x14ac:dyDescent="0.25">
      <c r="F146" s="17" t="s">
        <v>134</v>
      </c>
    </row>
    <row r="147" spans="3:7" hidden="1" outlineLevel="4" x14ac:dyDescent="0.25">
      <c r="F147" s="17" t="s">
        <v>339</v>
      </c>
    </row>
    <row r="148" spans="3:7" hidden="1" outlineLevel="4" x14ac:dyDescent="0.25">
      <c r="F148" s="17" t="s">
        <v>340</v>
      </c>
    </row>
    <row r="149" spans="3:7" hidden="1" outlineLevel="4" x14ac:dyDescent="0.25">
      <c r="F149" s="17" t="s">
        <v>341</v>
      </c>
    </row>
    <row r="150" spans="3:7" hidden="1" outlineLevel="4" x14ac:dyDescent="0.25">
      <c r="F150" s="17" t="s">
        <v>342</v>
      </c>
    </row>
    <row r="151" spans="3:7" hidden="1" outlineLevel="2" x14ac:dyDescent="0.25">
      <c r="D151" s="17" t="s">
        <v>236</v>
      </c>
    </row>
    <row r="152" spans="3:7" ht="13" hidden="1" outlineLevel="2" x14ac:dyDescent="0.25">
      <c r="D152" s="21" t="s">
        <v>235</v>
      </c>
      <c r="G152" s="5">
        <v>10</v>
      </c>
    </row>
    <row r="153" spans="3:7" hidden="1" outlineLevel="2" x14ac:dyDescent="0.25">
      <c r="D153" s="17" t="s">
        <v>62</v>
      </c>
    </row>
    <row r="154" spans="3:7" hidden="1" outlineLevel="2" x14ac:dyDescent="0.25">
      <c r="D154" s="17" t="s">
        <v>137</v>
      </c>
    </row>
    <row r="155" spans="3:7" hidden="1" outlineLevel="2" x14ac:dyDescent="0.25">
      <c r="D155" s="17" t="s">
        <v>138</v>
      </c>
    </row>
    <row r="156" spans="3:7" hidden="1" outlineLevel="2" x14ac:dyDescent="0.25">
      <c r="D156" s="17" t="s">
        <v>343</v>
      </c>
    </row>
    <row r="157" spans="3:7" hidden="1" outlineLevel="2" x14ac:dyDescent="0.25">
      <c r="D157" s="17" t="s">
        <v>139</v>
      </c>
    </row>
    <row r="158" spans="3:7" hidden="1" outlineLevel="2" x14ac:dyDescent="0.25">
      <c r="D158" s="17" t="s">
        <v>140</v>
      </c>
    </row>
    <row r="159" spans="3:7" hidden="1" outlineLevel="2" x14ac:dyDescent="0.25">
      <c r="D159" s="17" t="s">
        <v>141</v>
      </c>
    </row>
    <row r="160" spans="3:7" ht="13" outlineLevel="1" collapsed="1" x14ac:dyDescent="0.25">
      <c r="C160" s="21" t="s">
        <v>73</v>
      </c>
      <c r="G160" s="5">
        <v>1</v>
      </c>
    </row>
    <row r="161" spans="4:7" ht="13" hidden="1" outlineLevel="2" x14ac:dyDescent="0.25">
      <c r="D161" s="21" t="s">
        <v>237</v>
      </c>
    </row>
    <row r="162" spans="4:7" hidden="1" outlineLevel="3" x14ac:dyDescent="0.25">
      <c r="E162" s="17" t="s">
        <v>344</v>
      </c>
    </row>
    <row r="163" spans="4:7" hidden="1" outlineLevel="4" x14ac:dyDescent="0.25">
      <c r="F163" s="17" t="s">
        <v>345</v>
      </c>
    </row>
    <row r="164" spans="4:7" hidden="1" outlineLevel="4" x14ac:dyDescent="0.25">
      <c r="F164" s="17" t="s">
        <v>346</v>
      </c>
    </row>
    <row r="165" spans="4:7" hidden="1" outlineLevel="4" x14ac:dyDescent="0.25">
      <c r="F165" s="17" t="s">
        <v>347</v>
      </c>
    </row>
    <row r="166" spans="4:7" hidden="1" outlineLevel="4" x14ac:dyDescent="0.25">
      <c r="F166" s="17" t="s">
        <v>143</v>
      </c>
    </row>
    <row r="167" spans="4:7" hidden="1" outlineLevel="4" x14ac:dyDescent="0.25">
      <c r="F167" s="17" t="s">
        <v>240</v>
      </c>
    </row>
    <row r="168" spans="4:7" hidden="1" outlineLevel="3" x14ac:dyDescent="0.25">
      <c r="E168" s="17" t="s">
        <v>348</v>
      </c>
    </row>
    <row r="169" spans="4:7" ht="13" hidden="1" outlineLevel="4" x14ac:dyDescent="0.25">
      <c r="F169" s="21" t="s">
        <v>172</v>
      </c>
      <c r="G169" s="5">
        <v>1</v>
      </c>
    </row>
    <row r="170" spans="4:7" hidden="1" outlineLevel="4" x14ac:dyDescent="0.25">
      <c r="F170" s="17" t="s">
        <v>167</v>
      </c>
    </row>
    <row r="171" spans="4:7" hidden="1" outlineLevel="4" x14ac:dyDescent="0.25">
      <c r="F171" s="17" t="s">
        <v>231</v>
      </c>
    </row>
    <row r="172" spans="4:7" hidden="1" outlineLevel="4" x14ac:dyDescent="0.25">
      <c r="F172" s="17" t="s">
        <v>171</v>
      </c>
    </row>
    <row r="173" spans="4:7" hidden="1" outlineLevel="4" x14ac:dyDescent="0.25">
      <c r="F173" s="17" t="s">
        <v>170</v>
      </c>
    </row>
    <row r="174" spans="4:7" hidden="1" outlineLevel="3" x14ac:dyDescent="0.25">
      <c r="E174" s="17" t="s">
        <v>179</v>
      </c>
    </row>
    <row r="175" spans="4:7" hidden="1" outlineLevel="4" x14ac:dyDescent="0.25">
      <c r="F175" s="17" t="s">
        <v>349</v>
      </c>
    </row>
    <row r="176" spans="4:7" hidden="1" outlineLevel="4" x14ac:dyDescent="0.25">
      <c r="F176" s="17" t="s">
        <v>350</v>
      </c>
    </row>
    <row r="177" spans="3:7" hidden="1" outlineLevel="4" x14ac:dyDescent="0.25">
      <c r="F177" s="17" t="s">
        <v>144</v>
      </c>
    </row>
    <row r="178" spans="3:7" hidden="1" outlineLevel="4" x14ac:dyDescent="0.25">
      <c r="F178" s="17" t="s">
        <v>123</v>
      </c>
    </row>
    <row r="179" spans="3:7" hidden="1" outlineLevel="2" x14ac:dyDescent="0.25">
      <c r="D179" s="17" t="s">
        <v>239</v>
      </c>
    </row>
    <row r="180" spans="3:7" hidden="1" outlineLevel="2" x14ac:dyDescent="0.25">
      <c r="D180" s="17" t="s">
        <v>238</v>
      </c>
    </row>
    <row r="181" spans="3:7" hidden="1" outlineLevel="2" x14ac:dyDescent="0.25">
      <c r="D181" s="17" t="s">
        <v>62</v>
      </c>
    </row>
    <row r="182" spans="3:7" hidden="1" outlineLevel="2" x14ac:dyDescent="0.25">
      <c r="D182" s="17" t="s">
        <v>143</v>
      </c>
    </row>
    <row r="183" spans="3:7" hidden="1" outlineLevel="2" x14ac:dyDescent="0.25">
      <c r="D183" s="17" t="s">
        <v>240</v>
      </c>
    </row>
    <row r="184" spans="3:7" ht="13" hidden="1" outlineLevel="2" x14ac:dyDescent="0.25">
      <c r="D184" s="21" t="s">
        <v>172</v>
      </c>
      <c r="G184" s="5">
        <v>1</v>
      </c>
    </row>
    <row r="185" spans="3:7" hidden="1" outlineLevel="2" x14ac:dyDescent="0.25">
      <c r="D185" s="17" t="s">
        <v>231</v>
      </c>
    </row>
    <row r="186" spans="3:7" hidden="1" outlineLevel="2" x14ac:dyDescent="0.25">
      <c r="D186" s="17" t="s">
        <v>117</v>
      </c>
    </row>
    <row r="187" spans="3:7" hidden="1" outlineLevel="2" x14ac:dyDescent="0.25">
      <c r="D187" s="17" t="s">
        <v>170</v>
      </c>
    </row>
    <row r="188" spans="3:7" ht="13" outlineLevel="1" collapsed="1" x14ac:dyDescent="0.25">
      <c r="C188" s="21" t="s">
        <v>145</v>
      </c>
      <c r="G188" s="5">
        <v>9</v>
      </c>
    </row>
    <row r="189" spans="3:7" ht="13" hidden="1" outlineLevel="2" x14ac:dyDescent="0.25">
      <c r="D189" s="21" t="s">
        <v>241</v>
      </c>
    </row>
    <row r="190" spans="3:7" ht="13" hidden="1" outlineLevel="3" x14ac:dyDescent="0.25">
      <c r="E190" s="21" t="s">
        <v>351</v>
      </c>
    </row>
    <row r="191" spans="3:7" hidden="1" outlineLevel="4" x14ac:dyDescent="0.25">
      <c r="F191" s="17" t="s">
        <v>242</v>
      </c>
    </row>
    <row r="192" spans="3:7" hidden="1" outlineLevel="4" x14ac:dyDescent="0.25">
      <c r="F192" s="17" t="s">
        <v>352</v>
      </c>
    </row>
    <row r="193" spans="5:7" ht="13" hidden="1" outlineLevel="4" x14ac:dyDescent="0.25">
      <c r="F193" s="21" t="s">
        <v>253</v>
      </c>
      <c r="G193" s="5">
        <v>9</v>
      </c>
    </row>
    <row r="194" spans="5:7" hidden="1" outlineLevel="4" x14ac:dyDescent="0.25">
      <c r="F194" s="17" t="s">
        <v>353</v>
      </c>
    </row>
    <row r="195" spans="5:7" hidden="1" outlineLevel="4" x14ac:dyDescent="0.25">
      <c r="F195" s="17" t="s">
        <v>354</v>
      </c>
    </row>
    <row r="196" spans="5:7" hidden="1" outlineLevel="4" x14ac:dyDescent="0.25">
      <c r="F196" s="17" t="s">
        <v>355</v>
      </c>
    </row>
    <row r="197" spans="5:7" hidden="1" outlineLevel="4" x14ac:dyDescent="0.25">
      <c r="F197" s="17" t="s">
        <v>167</v>
      </c>
    </row>
    <row r="198" spans="5:7" hidden="1" outlineLevel="4" x14ac:dyDescent="0.25">
      <c r="F198" s="17" t="s">
        <v>172</v>
      </c>
    </row>
    <row r="199" spans="5:7" hidden="1" outlineLevel="4" x14ac:dyDescent="0.25">
      <c r="F199" s="17" t="s">
        <v>149</v>
      </c>
    </row>
    <row r="200" spans="5:7" hidden="1" outlineLevel="4" x14ac:dyDescent="0.25">
      <c r="F200" s="17" t="s">
        <v>356</v>
      </c>
    </row>
    <row r="201" spans="5:7" hidden="1" outlineLevel="4" x14ac:dyDescent="0.25">
      <c r="F201" s="17" t="s">
        <v>357</v>
      </c>
    </row>
    <row r="202" spans="5:7" hidden="1" outlineLevel="4" x14ac:dyDescent="0.25">
      <c r="F202" s="17" t="s">
        <v>177</v>
      </c>
    </row>
    <row r="203" spans="5:7" hidden="1" outlineLevel="4" x14ac:dyDescent="0.25">
      <c r="F203" s="17" t="s">
        <v>150</v>
      </c>
    </row>
    <row r="204" spans="5:7" hidden="1" outlineLevel="4" x14ac:dyDescent="0.25">
      <c r="F204" s="17" t="s">
        <v>151</v>
      </c>
    </row>
    <row r="205" spans="5:7" hidden="1" outlineLevel="3" x14ac:dyDescent="0.25">
      <c r="E205" s="17" t="s">
        <v>358</v>
      </c>
    </row>
    <row r="206" spans="5:7" hidden="1" outlineLevel="4" x14ac:dyDescent="0.25">
      <c r="F206" s="17" t="s">
        <v>359</v>
      </c>
    </row>
    <row r="207" spans="5:7" hidden="1" outlineLevel="4" x14ac:dyDescent="0.25">
      <c r="F207" s="17" t="s">
        <v>244</v>
      </c>
    </row>
    <row r="208" spans="5:7" hidden="1" outlineLevel="4" x14ac:dyDescent="0.25">
      <c r="F208" s="17" t="s">
        <v>360</v>
      </c>
    </row>
    <row r="209" spans="3:7" hidden="1" outlineLevel="4" x14ac:dyDescent="0.25">
      <c r="F209" s="17" t="s">
        <v>361</v>
      </c>
    </row>
    <row r="210" spans="3:7" hidden="1" outlineLevel="4" x14ac:dyDescent="0.25">
      <c r="F210" s="17" t="s">
        <v>167</v>
      </c>
    </row>
    <row r="211" spans="3:7" hidden="1" outlineLevel="2" x14ac:dyDescent="0.25">
      <c r="D211" s="17" t="s">
        <v>147</v>
      </c>
    </row>
    <row r="212" spans="3:7" hidden="1" outlineLevel="2" x14ac:dyDescent="0.25">
      <c r="D212" s="17" t="s">
        <v>242</v>
      </c>
    </row>
    <row r="213" spans="3:7" ht="13" hidden="1" outlineLevel="2" x14ac:dyDescent="0.25">
      <c r="D213" s="21" t="s">
        <v>146</v>
      </c>
      <c r="G213" s="5">
        <v>9</v>
      </c>
    </row>
    <row r="214" spans="3:7" hidden="1" outlineLevel="2" x14ac:dyDescent="0.25">
      <c r="D214" s="17" t="s">
        <v>148</v>
      </c>
    </row>
    <row r="215" spans="3:7" hidden="1" outlineLevel="2" x14ac:dyDescent="0.25">
      <c r="D215" s="17" t="s">
        <v>172</v>
      </c>
    </row>
    <row r="216" spans="3:7" hidden="1" outlineLevel="2" x14ac:dyDescent="0.25">
      <c r="D216" s="17" t="s">
        <v>244</v>
      </c>
    </row>
    <row r="217" spans="3:7" hidden="1" outlineLevel="2" x14ac:dyDescent="0.25">
      <c r="D217" s="17" t="s">
        <v>243</v>
      </c>
    </row>
    <row r="218" spans="3:7" outlineLevel="1" collapsed="1" x14ac:dyDescent="0.25">
      <c r="C218" s="17" t="s">
        <v>153</v>
      </c>
    </row>
    <row r="219" spans="3:7" hidden="1" outlineLevel="2" x14ac:dyDescent="0.25">
      <c r="D219" s="17" t="s">
        <v>245</v>
      </c>
    </row>
    <row r="220" spans="3:7" hidden="1" outlineLevel="3" x14ac:dyDescent="0.25">
      <c r="E220" s="17" t="s">
        <v>362</v>
      </c>
    </row>
    <row r="221" spans="3:7" hidden="1" outlineLevel="4" x14ac:dyDescent="0.25">
      <c r="F221" s="17" t="s">
        <v>363</v>
      </c>
    </row>
    <row r="222" spans="3:7" hidden="1" outlineLevel="4" x14ac:dyDescent="0.25">
      <c r="F222" s="17" t="s">
        <v>246</v>
      </c>
    </row>
    <row r="223" spans="3:7" hidden="1" outlineLevel="4" x14ac:dyDescent="0.25">
      <c r="F223" s="17" t="s">
        <v>364</v>
      </c>
    </row>
    <row r="224" spans="3:7" hidden="1" outlineLevel="3" x14ac:dyDescent="0.25">
      <c r="E224" s="17" t="s">
        <v>365</v>
      </c>
    </row>
    <row r="225" spans="5:6" hidden="1" outlineLevel="4" x14ac:dyDescent="0.25">
      <c r="F225" s="17" t="s">
        <v>154</v>
      </c>
    </row>
    <row r="226" spans="5:6" hidden="1" outlineLevel="4" x14ac:dyDescent="0.25">
      <c r="F226" s="17" t="s">
        <v>247</v>
      </c>
    </row>
    <row r="227" spans="5:6" hidden="1" outlineLevel="4" x14ac:dyDescent="0.25">
      <c r="F227" s="17" t="s">
        <v>366</v>
      </c>
    </row>
    <row r="228" spans="5:6" hidden="1" outlineLevel="4" x14ac:dyDescent="0.25">
      <c r="F228" s="17" t="s">
        <v>367</v>
      </c>
    </row>
    <row r="229" spans="5:6" hidden="1" outlineLevel="4" x14ac:dyDescent="0.25">
      <c r="F229" s="17" t="s">
        <v>368</v>
      </c>
    </row>
    <row r="230" spans="5:6" hidden="1" outlineLevel="4" x14ac:dyDescent="0.25">
      <c r="F230" s="17" t="s">
        <v>369</v>
      </c>
    </row>
    <row r="231" spans="5:6" hidden="1" outlineLevel="4" x14ac:dyDescent="0.25">
      <c r="F231" s="17" t="s">
        <v>155</v>
      </c>
    </row>
    <row r="232" spans="5:6" hidden="1" outlineLevel="3" x14ac:dyDescent="0.25">
      <c r="E232" s="17" t="s">
        <v>179</v>
      </c>
    </row>
    <row r="233" spans="5:6" hidden="1" outlineLevel="4" x14ac:dyDescent="0.25">
      <c r="F233" s="17" t="s">
        <v>370</v>
      </c>
    </row>
    <row r="234" spans="5:6" hidden="1" outlineLevel="4" x14ac:dyDescent="0.25">
      <c r="F234" s="17" t="s">
        <v>371</v>
      </c>
    </row>
    <row r="235" spans="5:6" hidden="1" outlineLevel="4" x14ac:dyDescent="0.25">
      <c r="F235" s="17" t="s">
        <v>372</v>
      </c>
    </row>
    <row r="236" spans="5:6" hidden="1" outlineLevel="4" x14ac:dyDescent="0.25">
      <c r="F236" s="17" t="s">
        <v>67</v>
      </c>
    </row>
    <row r="237" spans="5:6" hidden="1" outlineLevel="4" x14ac:dyDescent="0.25">
      <c r="F237" s="17" t="s">
        <v>373</v>
      </c>
    </row>
    <row r="238" spans="5:6" hidden="1" outlineLevel="4" x14ac:dyDescent="0.25">
      <c r="F238" s="17" t="s">
        <v>156</v>
      </c>
    </row>
    <row r="239" spans="5:6" hidden="1" outlineLevel="4" x14ac:dyDescent="0.25">
      <c r="F239" s="17" t="s">
        <v>157</v>
      </c>
    </row>
    <row r="240" spans="5:6" hidden="1" outlineLevel="4" x14ac:dyDescent="0.25">
      <c r="F240" s="17" t="s">
        <v>374</v>
      </c>
    </row>
    <row r="241" spans="3:6" hidden="1" outlineLevel="4" x14ac:dyDescent="0.25">
      <c r="F241" s="17" t="s">
        <v>375</v>
      </c>
    </row>
    <row r="242" spans="3:6" hidden="1" outlineLevel="2" x14ac:dyDescent="0.25">
      <c r="D242" s="17" t="s">
        <v>363</v>
      </c>
    </row>
    <row r="243" spans="3:6" hidden="1" outlineLevel="2" x14ac:dyDescent="0.25">
      <c r="D243" s="17" t="s">
        <v>246</v>
      </c>
    </row>
    <row r="244" spans="3:6" hidden="1" outlineLevel="2" x14ac:dyDescent="0.25">
      <c r="D244" s="17" t="s">
        <v>364</v>
      </c>
    </row>
    <row r="245" spans="3:6" hidden="1" outlineLevel="2" x14ac:dyDescent="0.25">
      <c r="D245" s="17" t="s">
        <v>154</v>
      </c>
    </row>
    <row r="246" spans="3:6" hidden="1" outlineLevel="2" x14ac:dyDescent="0.25">
      <c r="D246" s="17" t="s">
        <v>247</v>
      </c>
    </row>
    <row r="247" spans="3:6" hidden="1" outlineLevel="2" x14ac:dyDescent="0.25">
      <c r="D247" s="17" t="s">
        <v>366</v>
      </c>
    </row>
    <row r="248" spans="3:6" hidden="1" outlineLevel="2" x14ac:dyDescent="0.25">
      <c r="D248" s="17" t="s">
        <v>172</v>
      </c>
    </row>
    <row r="249" spans="3:6" outlineLevel="1" collapsed="1" x14ac:dyDescent="0.25">
      <c r="C249" s="17" t="s">
        <v>158</v>
      </c>
    </row>
    <row r="250" spans="3:6" hidden="1" outlineLevel="2" x14ac:dyDescent="0.25">
      <c r="D250" s="17" t="s">
        <v>248</v>
      </c>
    </row>
    <row r="251" spans="3:6" hidden="1" outlineLevel="3" x14ac:dyDescent="0.25">
      <c r="E251" s="17" t="s">
        <v>376</v>
      </c>
    </row>
    <row r="252" spans="3:6" hidden="1" outlineLevel="4" x14ac:dyDescent="0.25">
      <c r="F252" s="17" t="s">
        <v>90</v>
      </c>
    </row>
    <row r="253" spans="3:6" hidden="1" outlineLevel="4" x14ac:dyDescent="0.25">
      <c r="F253" s="17" t="s">
        <v>159</v>
      </c>
    </row>
    <row r="254" spans="3:6" hidden="1" outlineLevel="4" x14ac:dyDescent="0.25">
      <c r="F254" s="17" t="s">
        <v>181</v>
      </c>
    </row>
    <row r="255" spans="3:6" hidden="1" outlineLevel="4" x14ac:dyDescent="0.25">
      <c r="F255" s="17" t="s">
        <v>377</v>
      </c>
    </row>
    <row r="256" spans="3:6" hidden="1" outlineLevel="4" x14ac:dyDescent="0.25">
      <c r="F256" s="17" t="s">
        <v>378</v>
      </c>
    </row>
    <row r="257" spans="4:6" hidden="1" outlineLevel="4" x14ac:dyDescent="0.25">
      <c r="F257" s="17" t="s">
        <v>161</v>
      </c>
    </row>
    <row r="258" spans="4:6" hidden="1" outlineLevel="3" x14ac:dyDescent="0.25">
      <c r="E258" s="17" t="s">
        <v>162</v>
      </c>
    </row>
    <row r="259" spans="4:6" hidden="1" outlineLevel="4" x14ac:dyDescent="0.25">
      <c r="F259" s="17" t="s">
        <v>81</v>
      </c>
    </row>
    <row r="260" spans="4:6" hidden="1" outlineLevel="4" x14ac:dyDescent="0.25">
      <c r="F260" s="17" t="s">
        <v>163</v>
      </c>
    </row>
    <row r="261" spans="4:6" hidden="1" outlineLevel="4" x14ac:dyDescent="0.25">
      <c r="F261" s="17" t="s">
        <v>250</v>
      </c>
    </row>
    <row r="262" spans="4:6" hidden="1" outlineLevel="3" x14ac:dyDescent="0.25">
      <c r="E262" s="17" t="s">
        <v>179</v>
      </c>
    </row>
    <row r="263" spans="4:6" hidden="1" outlineLevel="4" x14ac:dyDescent="0.25">
      <c r="F263" s="17" t="s">
        <v>379</v>
      </c>
    </row>
    <row r="264" spans="4:6" hidden="1" outlineLevel="4" x14ac:dyDescent="0.25">
      <c r="F264" s="17" t="s">
        <v>380</v>
      </c>
    </row>
    <row r="265" spans="4:6" hidden="1" outlineLevel="4" x14ac:dyDescent="0.25">
      <c r="F265" s="17" t="s">
        <v>381</v>
      </c>
    </row>
    <row r="266" spans="4:6" hidden="1" outlineLevel="4" x14ac:dyDescent="0.25">
      <c r="F266" s="17" t="s">
        <v>382</v>
      </c>
    </row>
    <row r="267" spans="4:6" hidden="1" outlineLevel="4" x14ac:dyDescent="0.25">
      <c r="F267" s="17" t="s">
        <v>164</v>
      </c>
    </row>
    <row r="268" spans="4:6" hidden="1" outlineLevel="4" x14ac:dyDescent="0.25">
      <c r="F268" s="17" t="s">
        <v>383</v>
      </c>
    </row>
    <row r="269" spans="4:6" hidden="1" outlineLevel="2" x14ac:dyDescent="0.25">
      <c r="D269" s="17" t="s">
        <v>90</v>
      </c>
    </row>
    <row r="270" spans="4:6" hidden="1" outlineLevel="2" x14ac:dyDescent="0.25">
      <c r="D270" s="17" t="s">
        <v>159</v>
      </c>
    </row>
    <row r="271" spans="4:6" hidden="1" outlineLevel="2" x14ac:dyDescent="0.25">
      <c r="D271" s="17" t="s">
        <v>249</v>
      </c>
    </row>
    <row r="272" spans="4:6" hidden="1" outlineLevel="2" x14ac:dyDescent="0.25">
      <c r="D272" s="17" t="s">
        <v>160</v>
      </c>
    </row>
    <row r="273" spans="3:7" hidden="1" outlineLevel="2" x14ac:dyDescent="0.25">
      <c r="D273" s="17" t="s">
        <v>169</v>
      </c>
    </row>
    <row r="274" spans="3:7" hidden="1" outlineLevel="2" x14ac:dyDescent="0.25">
      <c r="D274" s="17" t="s">
        <v>81</v>
      </c>
    </row>
    <row r="275" spans="3:7" hidden="1" outlineLevel="2" x14ac:dyDescent="0.25">
      <c r="D275" s="17" t="s">
        <v>163</v>
      </c>
    </row>
    <row r="276" spans="3:7" hidden="1" outlineLevel="2" x14ac:dyDescent="0.25">
      <c r="D276" s="17" t="s">
        <v>250</v>
      </c>
    </row>
    <row r="277" spans="3:7" ht="13" outlineLevel="1" collapsed="1" x14ac:dyDescent="0.25">
      <c r="C277" s="21" t="s">
        <v>21</v>
      </c>
      <c r="G277" s="5" t="s">
        <v>384</v>
      </c>
    </row>
    <row r="278" spans="3:7" ht="13" hidden="1" outlineLevel="2" collapsed="1" x14ac:dyDescent="0.25">
      <c r="D278" s="21" t="s">
        <v>251</v>
      </c>
    </row>
    <row r="279" spans="3:7" ht="13" hidden="1" outlineLevel="3" collapsed="1" x14ac:dyDescent="0.25">
      <c r="E279" s="21" t="s">
        <v>385</v>
      </c>
    </row>
    <row r="280" spans="3:7" ht="13" hidden="1" outlineLevel="4" x14ac:dyDescent="0.25">
      <c r="F280" s="21" t="s">
        <v>252</v>
      </c>
      <c r="G280" s="5">
        <v>4</v>
      </c>
    </row>
    <row r="281" spans="3:7" hidden="1" outlineLevel="4" x14ac:dyDescent="0.25">
      <c r="F281" s="17" t="s">
        <v>231</v>
      </c>
    </row>
    <row r="282" spans="3:7" hidden="1" outlineLevel="4" x14ac:dyDescent="0.25">
      <c r="F282" s="17" t="s">
        <v>386</v>
      </c>
    </row>
    <row r="283" spans="3:7" hidden="1" outlineLevel="4" x14ac:dyDescent="0.25">
      <c r="F283" s="17" t="s">
        <v>254</v>
      </c>
    </row>
    <row r="284" spans="3:7" hidden="1" outlineLevel="4" x14ac:dyDescent="0.25">
      <c r="F284" s="17" t="s">
        <v>97</v>
      </c>
    </row>
    <row r="285" spans="3:7" hidden="1" outlineLevel="4" x14ac:dyDescent="0.25">
      <c r="F285" s="17" t="s">
        <v>387</v>
      </c>
    </row>
    <row r="286" spans="3:7" hidden="1" outlineLevel="4" x14ac:dyDescent="0.25">
      <c r="F286" s="17" t="s">
        <v>165</v>
      </c>
    </row>
    <row r="287" spans="3:7" hidden="1" outlineLevel="4" x14ac:dyDescent="0.25">
      <c r="F287" s="17" t="s">
        <v>388</v>
      </c>
    </row>
    <row r="288" spans="3:7" ht="13" hidden="1" outlineLevel="4" x14ac:dyDescent="0.25">
      <c r="F288" s="21" t="s">
        <v>253</v>
      </c>
      <c r="G288" s="5">
        <v>9</v>
      </c>
    </row>
    <row r="289" spans="3:7" hidden="1" outlineLevel="4" x14ac:dyDescent="0.25">
      <c r="F289" s="17" t="s">
        <v>117</v>
      </c>
    </row>
    <row r="290" spans="3:7" hidden="1" outlineLevel="4" x14ac:dyDescent="0.25">
      <c r="F290" s="17" t="s">
        <v>389</v>
      </c>
    </row>
    <row r="291" spans="3:7" hidden="1" outlineLevel="2" x14ac:dyDescent="0.25">
      <c r="D291" s="17" t="s">
        <v>97</v>
      </c>
    </row>
    <row r="292" spans="3:7" ht="13" hidden="1" outlineLevel="2" x14ac:dyDescent="0.25">
      <c r="D292" s="21" t="s">
        <v>390</v>
      </c>
      <c r="G292" s="5">
        <v>4</v>
      </c>
    </row>
    <row r="293" spans="3:7" ht="13" hidden="1" outlineLevel="2" x14ac:dyDescent="0.25">
      <c r="D293" s="21" t="s">
        <v>253</v>
      </c>
      <c r="G293" s="5">
        <v>9</v>
      </c>
    </row>
    <row r="294" spans="3:7" hidden="1" outlineLevel="2" x14ac:dyDescent="0.25">
      <c r="D294" s="17" t="s">
        <v>254</v>
      </c>
    </row>
    <row r="295" spans="3:7" hidden="1" outlineLevel="2" x14ac:dyDescent="0.25">
      <c r="D295" s="17" t="s">
        <v>386</v>
      </c>
    </row>
    <row r="296" spans="3:7" hidden="1" outlineLevel="2" x14ac:dyDescent="0.25">
      <c r="D296" s="17" t="s">
        <v>117</v>
      </c>
    </row>
    <row r="297" spans="3:7" hidden="1" outlineLevel="2" x14ac:dyDescent="0.25">
      <c r="D297" s="17" t="s">
        <v>255</v>
      </c>
    </row>
    <row r="298" spans="3:7" hidden="1" outlineLevel="2" x14ac:dyDescent="0.25">
      <c r="D298" s="17" t="s">
        <v>231</v>
      </c>
    </row>
    <row r="299" spans="3:7" hidden="1" outlineLevel="2" x14ac:dyDescent="0.25">
      <c r="D299" s="17" t="s">
        <v>389</v>
      </c>
    </row>
    <row r="300" spans="3:7" outlineLevel="1" collapsed="1" x14ac:dyDescent="0.25">
      <c r="C300" s="17" t="s">
        <v>24</v>
      </c>
    </row>
    <row r="301" spans="3:7" hidden="1" outlineLevel="2" x14ac:dyDescent="0.25">
      <c r="D301" s="17" t="s">
        <v>391</v>
      </c>
    </row>
    <row r="302" spans="3:7" hidden="1" outlineLevel="3" x14ac:dyDescent="0.25">
      <c r="E302" s="17" t="s">
        <v>392</v>
      </c>
    </row>
    <row r="303" spans="3:7" hidden="1" outlineLevel="3" x14ac:dyDescent="0.25">
      <c r="E303" s="17" t="s">
        <v>393</v>
      </c>
    </row>
    <row r="304" spans="3:7" hidden="1" outlineLevel="3" x14ac:dyDescent="0.25">
      <c r="E304" s="17" t="s">
        <v>394</v>
      </c>
    </row>
    <row r="305" spans="3:7" hidden="1" outlineLevel="2" x14ac:dyDescent="0.25">
      <c r="D305" s="17" t="s">
        <v>395</v>
      </c>
    </row>
    <row r="306" spans="3:7" hidden="1" outlineLevel="3" x14ac:dyDescent="0.25">
      <c r="E306" s="17" t="s">
        <v>396</v>
      </c>
    </row>
    <row r="307" spans="3:7" hidden="1" outlineLevel="3" x14ac:dyDescent="0.25">
      <c r="E307" s="17" t="s">
        <v>397</v>
      </c>
    </row>
    <row r="308" spans="3:7" hidden="1" outlineLevel="3" x14ac:dyDescent="0.25">
      <c r="E308" s="17" t="s">
        <v>173</v>
      </c>
    </row>
    <row r="309" spans="3:7" hidden="1" outlineLevel="3" x14ac:dyDescent="0.25">
      <c r="E309" s="17" t="s">
        <v>398</v>
      </c>
    </row>
    <row r="310" spans="3:7" hidden="1" outlineLevel="3" x14ac:dyDescent="0.25">
      <c r="E310" s="17" t="s">
        <v>318</v>
      </c>
    </row>
    <row r="311" spans="3:7" hidden="1" outlineLevel="2" x14ac:dyDescent="0.25">
      <c r="D311" s="17" t="s">
        <v>399</v>
      </c>
    </row>
    <row r="312" spans="3:7" hidden="1" outlineLevel="3" x14ac:dyDescent="0.25">
      <c r="E312" s="17" t="s">
        <v>400</v>
      </c>
    </row>
    <row r="313" spans="3:7" hidden="1" outlineLevel="3" x14ac:dyDescent="0.25">
      <c r="E313" s="17" t="s">
        <v>401</v>
      </c>
    </row>
    <row r="314" spans="3:7" hidden="1" outlineLevel="3" x14ac:dyDescent="0.25">
      <c r="E314" s="17" t="s">
        <v>402</v>
      </c>
    </row>
    <row r="315" spans="3:7" hidden="1" outlineLevel="3" x14ac:dyDescent="0.25">
      <c r="E315" s="17" t="s">
        <v>403</v>
      </c>
    </row>
    <row r="316" spans="3:7" hidden="1" outlineLevel="3" x14ac:dyDescent="0.25">
      <c r="E316" s="17" t="s">
        <v>152</v>
      </c>
    </row>
    <row r="317" spans="3:7" hidden="1" outlineLevel="3" x14ac:dyDescent="0.25">
      <c r="E317" s="17" t="s">
        <v>404</v>
      </c>
    </row>
    <row r="318" spans="3:7" hidden="1" outlineLevel="3" x14ac:dyDescent="0.25">
      <c r="E318" s="17" t="s">
        <v>405</v>
      </c>
    </row>
    <row r="319" spans="3:7" ht="13" outlineLevel="1" collapsed="1" x14ac:dyDescent="0.25">
      <c r="C319" s="21" t="s">
        <v>166</v>
      </c>
      <c r="G319" s="5">
        <v>8</v>
      </c>
    </row>
    <row r="320" spans="3:7" ht="13" hidden="1" outlineLevel="2" x14ac:dyDescent="0.25">
      <c r="D320" s="21" t="s">
        <v>406</v>
      </c>
    </row>
    <row r="321" spans="2:7" ht="13" hidden="1" outlineLevel="3" x14ac:dyDescent="0.25">
      <c r="E321" s="21" t="s">
        <v>407</v>
      </c>
      <c r="G321" s="5">
        <v>8</v>
      </c>
    </row>
    <row r="322" spans="2:7" hidden="1" outlineLevel="3" x14ac:dyDescent="0.25">
      <c r="E322" s="17" t="s">
        <v>168</v>
      </c>
    </row>
    <row r="323" spans="2:7" hidden="1" outlineLevel="3" x14ac:dyDescent="0.25">
      <c r="E323" s="17" t="s">
        <v>233</v>
      </c>
    </row>
    <row r="324" spans="2:7" hidden="1" outlineLevel="3" x14ac:dyDescent="0.25">
      <c r="E324" s="17" t="s">
        <v>176</v>
      </c>
    </row>
    <row r="325" spans="2:7" hidden="1" outlineLevel="3" x14ac:dyDescent="0.25">
      <c r="E325" s="17" t="s">
        <v>178</v>
      </c>
    </row>
    <row r="326" spans="2:7" hidden="1" outlineLevel="3" x14ac:dyDescent="0.25">
      <c r="E326" s="17" t="s">
        <v>180</v>
      </c>
    </row>
    <row r="327" spans="2:7" collapsed="1" x14ac:dyDescent="0.25">
      <c r="B327" s="17" t="s">
        <v>182</v>
      </c>
    </row>
    <row r="328" spans="2:7" hidden="1" outlineLevel="1" x14ac:dyDescent="0.25">
      <c r="C328" s="17" t="s">
        <v>183</v>
      </c>
    </row>
    <row r="329" spans="2:7" hidden="1" outlineLevel="2" x14ac:dyDescent="0.25">
      <c r="D329" s="17" t="s">
        <v>184</v>
      </c>
    </row>
    <row r="330" spans="2:7" hidden="1" outlineLevel="2" x14ac:dyDescent="0.25">
      <c r="D330" s="17" t="s">
        <v>185</v>
      </c>
    </row>
    <row r="331" spans="2:7" hidden="1" outlineLevel="2" x14ac:dyDescent="0.25">
      <c r="D331" s="17" t="s">
        <v>186</v>
      </c>
    </row>
    <row r="332" spans="2:7" hidden="1" outlineLevel="2" x14ac:dyDescent="0.25">
      <c r="D332" s="17" t="s">
        <v>187</v>
      </c>
    </row>
    <row r="333" spans="2:7" hidden="1" outlineLevel="2" x14ac:dyDescent="0.25">
      <c r="D333" s="17" t="s">
        <v>188</v>
      </c>
    </row>
    <row r="334" spans="2:7" hidden="1" outlineLevel="2" x14ac:dyDescent="0.25">
      <c r="D334" s="17" t="s">
        <v>189</v>
      </c>
    </row>
    <row r="335" spans="2:7" hidden="1" outlineLevel="2" x14ac:dyDescent="0.25">
      <c r="D335" s="17" t="s">
        <v>190</v>
      </c>
    </row>
    <row r="336" spans="2:7" hidden="1" outlineLevel="1" x14ac:dyDescent="0.25">
      <c r="C336" s="17" t="s">
        <v>191</v>
      </c>
    </row>
    <row r="337" spans="2:4" hidden="1" outlineLevel="2" x14ac:dyDescent="0.25">
      <c r="D337" s="17" t="s">
        <v>192</v>
      </c>
    </row>
    <row r="338" spans="2:4" hidden="1" outlineLevel="2" x14ac:dyDescent="0.25">
      <c r="D338" s="17" t="s">
        <v>193</v>
      </c>
    </row>
    <row r="339" spans="2:4" hidden="1" outlineLevel="2" x14ac:dyDescent="0.25">
      <c r="D339" s="17" t="s">
        <v>194</v>
      </c>
    </row>
    <row r="340" spans="2:4" hidden="1" outlineLevel="2" x14ac:dyDescent="0.25">
      <c r="D340" s="17" t="s">
        <v>195</v>
      </c>
    </row>
    <row r="341" spans="2:4" hidden="1" outlineLevel="2" x14ac:dyDescent="0.25">
      <c r="D341" s="17" t="s">
        <v>196</v>
      </c>
    </row>
    <row r="342" spans="2:4" hidden="1" outlineLevel="2" x14ac:dyDescent="0.25">
      <c r="D342" s="17" t="s">
        <v>197</v>
      </c>
    </row>
    <row r="343" spans="2:4" hidden="1" outlineLevel="2" x14ac:dyDescent="0.25">
      <c r="D343" s="17" t="s">
        <v>198</v>
      </c>
    </row>
    <row r="344" spans="2:4" hidden="1" outlineLevel="1" x14ac:dyDescent="0.25">
      <c r="C344" s="17" t="s">
        <v>199</v>
      </c>
    </row>
    <row r="345" spans="2:4" hidden="1" outlineLevel="2" x14ac:dyDescent="0.25">
      <c r="D345" s="17" t="s">
        <v>182</v>
      </c>
    </row>
    <row r="346" spans="2:4" hidden="1" outlineLevel="2" x14ac:dyDescent="0.25">
      <c r="D346" s="17" t="s">
        <v>200</v>
      </c>
    </row>
    <row r="347" spans="2:4" hidden="1" outlineLevel="2" x14ac:dyDescent="0.25">
      <c r="D347" s="17" t="s">
        <v>201</v>
      </c>
    </row>
    <row r="348" spans="2:4" hidden="1" outlineLevel="2" x14ac:dyDescent="0.25">
      <c r="D348" s="17" t="s">
        <v>202</v>
      </c>
    </row>
    <row r="349" spans="2:4" hidden="1" outlineLevel="2" x14ac:dyDescent="0.25">
      <c r="D349" s="17" t="s">
        <v>203</v>
      </c>
    </row>
    <row r="350" spans="2:4" hidden="1" outlineLevel="2" x14ac:dyDescent="0.25">
      <c r="D350" s="17" t="s">
        <v>204</v>
      </c>
    </row>
    <row r="351" spans="2:4" collapsed="1" x14ac:dyDescent="0.25">
      <c r="B351" s="17" t="s">
        <v>205</v>
      </c>
    </row>
    <row r="352" spans="2:4" hidden="1" outlineLevel="1" x14ac:dyDescent="0.25">
      <c r="C352" s="17" t="s">
        <v>206</v>
      </c>
    </row>
    <row r="353" spans="2:7" hidden="1" outlineLevel="1" x14ac:dyDescent="0.25">
      <c r="C353" s="17" t="s">
        <v>207</v>
      </c>
    </row>
    <row r="354" spans="2:7" hidden="1" outlineLevel="1" x14ac:dyDescent="0.25">
      <c r="C354" s="17" t="s">
        <v>208</v>
      </c>
    </row>
    <row r="355" spans="2:7" hidden="1" outlineLevel="1" x14ac:dyDescent="0.25">
      <c r="C355" s="17" t="s">
        <v>209</v>
      </c>
    </row>
    <row r="356" spans="2:7" hidden="1" outlineLevel="1" x14ac:dyDescent="0.25">
      <c r="C356" s="17" t="s">
        <v>210</v>
      </c>
    </row>
    <row r="357" spans="2:7" hidden="1" outlineLevel="1" x14ac:dyDescent="0.25">
      <c r="C357" s="17" t="s">
        <v>211</v>
      </c>
    </row>
    <row r="358" spans="2:7" hidden="1" outlineLevel="1" x14ac:dyDescent="0.25">
      <c r="C358" s="17" t="s">
        <v>212</v>
      </c>
    </row>
    <row r="359" spans="2:7" hidden="1" outlineLevel="1" x14ac:dyDescent="0.25">
      <c r="C359" s="17" t="s">
        <v>213</v>
      </c>
    </row>
    <row r="360" spans="2:7" ht="13" collapsed="1" x14ac:dyDescent="0.25">
      <c r="B360" s="21" t="s">
        <v>25</v>
      </c>
      <c r="G360" s="5" t="s">
        <v>408</v>
      </c>
    </row>
    <row r="361" spans="2:7" ht="13" hidden="1" outlineLevel="1" x14ac:dyDescent="0.25">
      <c r="C361" s="21" t="s">
        <v>214</v>
      </c>
      <c r="G361" s="5">
        <v>1</v>
      </c>
    </row>
    <row r="362" spans="2:7" ht="13" hidden="1" outlineLevel="1" x14ac:dyDescent="0.25">
      <c r="C362" s="21" t="s">
        <v>88</v>
      </c>
      <c r="G362" s="5">
        <v>5</v>
      </c>
    </row>
    <row r="363" spans="2:7" hidden="1" outlineLevel="1" x14ac:dyDescent="0.25">
      <c r="C363" s="17" t="s">
        <v>215</v>
      </c>
    </row>
    <row r="364" spans="2:7" ht="13" hidden="1" outlineLevel="1" x14ac:dyDescent="0.25">
      <c r="C364" s="21" t="s">
        <v>216</v>
      </c>
      <c r="G364" s="5" t="s">
        <v>409</v>
      </c>
    </row>
    <row r="365" spans="2:7" ht="13" hidden="1" outlineLevel="1" x14ac:dyDescent="0.25">
      <c r="C365" s="21" t="s">
        <v>125</v>
      </c>
      <c r="G365" s="5">
        <v>2</v>
      </c>
    </row>
    <row r="366" spans="2:7" hidden="1" outlineLevel="1" x14ac:dyDescent="0.25">
      <c r="C366" s="17" t="s">
        <v>217</v>
      </c>
    </row>
    <row r="367" spans="2:7" ht="13" collapsed="1" x14ac:dyDescent="0.25">
      <c r="B367" s="21" t="s">
        <v>26</v>
      </c>
      <c r="G367" s="5">
        <v>5</v>
      </c>
    </row>
    <row r="368" spans="2:7" ht="13" hidden="1" outlineLevel="1" x14ac:dyDescent="0.25">
      <c r="C368" s="21" t="s">
        <v>43</v>
      </c>
      <c r="G368" s="5">
        <v>5</v>
      </c>
    </row>
    <row r="369" spans="3:7" hidden="1" outlineLevel="1" x14ac:dyDescent="0.25">
      <c r="C369" s="17" t="s">
        <v>218</v>
      </c>
    </row>
    <row r="370" spans="3:7" hidden="1" outlineLevel="1" x14ac:dyDescent="0.25">
      <c r="C370" s="17" t="s">
        <v>219</v>
      </c>
    </row>
    <row r="371" spans="3:7" hidden="1" outlineLevel="1" x14ac:dyDescent="0.25">
      <c r="C371" s="17" t="s">
        <v>220</v>
      </c>
    </row>
    <row r="372" spans="3:7" ht="13" hidden="1" outlineLevel="1" x14ac:dyDescent="0.25">
      <c r="C372" s="21" t="s">
        <v>221</v>
      </c>
      <c r="G372" s="5">
        <v>5</v>
      </c>
    </row>
    <row r="373" spans="3:7" hidden="1" outlineLevel="1" x14ac:dyDescent="0.25">
      <c r="C373" s="17" t="s">
        <v>222</v>
      </c>
    </row>
    <row r="374" spans="3:7" hidden="1" outlineLevel="1" x14ac:dyDescent="0.25">
      <c r="C374" s="17" t="s">
        <v>223</v>
      </c>
    </row>
    <row r="375" spans="3:7" hidden="1" outlineLevel="1" x14ac:dyDescent="0.25">
      <c r="C375" s="17" t="s">
        <v>224</v>
      </c>
    </row>
    <row r="376" spans="3:7" hidden="1" outlineLevel="1" x14ac:dyDescent="0.25">
      <c r="C376" s="17" t="s">
        <v>225</v>
      </c>
    </row>
    <row r="377" spans="3:7" hidden="1" outlineLevel="1" x14ac:dyDescent="0.25">
      <c r="C377" s="17" t="s">
        <v>226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F008B76586674F89AC299300288754" ma:contentTypeVersion="3" ma:contentTypeDescription="Create a new document." ma:contentTypeScope="" ma:versionID="10fa2d0466c51e65839fbd87727a9d7e">
  <xsd:schema xmlns:xsd="http://www.w3.org/2001/XMLSchema" xmlns:xs="http://www.w3.org/2001/XMLSchema" xmlns:p="http://schemas.microsoft.com/office/2006/metadata/properties" xmlns:ns2="ddb990b1-d531-4cbe-a5f9-12644912e1f7" targetNamespace="http://schemas.microsoft.com/office/2006/metadata/properties" ma:root="true" ma:fieldsID="e3712a0cdba3eae72f3dafe0800424e3" ns2:_="">
    <xsd:import namespace="ddb990b1-d531-4cbe-a5f9-12644912e1f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b990b1-d531-4cbe-a5f9-12644912e1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68F380-1B45-47EA-9E84-AFF74C2955C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976450A-E329-4C90-AFF1-8099CC19B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b990b1-d531-4cbe-a5f9-12644912e1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E81913C-A8AB-4057-B49C-1DBD1BE1DF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2026 Sitewide nav (tasks)</vt:lpstr>
      <vt:lpstr>2026 Sitewid nav (tree)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Northuis, Mikki</cp:lastModifiedBy>
  <cp:revision/>
  <dcterms:created xsi:type="dcterms:W3CDTF">2025-05-12T21:25:39Z</dcterms:created>
  <dcterms:modified xsi:type="dcterms:W3CDTF">2026-04-22T19:13:20Z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0x0101008CF008B76586674F89AC299300288754</vt:lpwstr>
  </property>
</Properties>
</file>