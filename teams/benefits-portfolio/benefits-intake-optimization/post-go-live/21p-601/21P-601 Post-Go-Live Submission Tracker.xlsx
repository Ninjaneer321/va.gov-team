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65efd6b01b8bba/Documents/GingerHorizonsGroup_Projects/AgileSix/BIO/GH/benefits-intake-optimization/teams/benefits-portfolio/benefits-intake-optimization/post-go-live/21p-601/"/>
    </mc:Choice>
  </mc:AlternateContent>
  <xr:revisionPtr revIDLastSave="1" documentId="11_C72C412D6D0B49B47531FC19036639BD795BB99D" xr6:coauthVersionLast="47" xr6:coauthVersionMax="47" xr10:uidLastSave="{3EEF0022-1415-4809-B5A9-7DAD07D50F47}"/>
  <bookViews>
    <workbookView xWindow="28680" yWindow="-120" windowWidth="29040" windowHeight="15720" xr2:uid="{00000000-000D-0000-FFFF-FFFF00000000}"/>
  </bookViews>
  <sheets>
    <sheet name="21P-6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lxnqwu+06XqmNBA4QGxkuZYA9q46Pmc5Z6q5IUZj3Y="/>
    </ext>
  </extLst>
</workbook>
</file>

<file path=xl/calcChain.xml><?xml version="1.0" encoding="utf-8"?>
<calcChain xmlns="http://schemas.openxmlformats.org/spreadsheetml/2006/main">
  <c r="B5" i="1" l="1"/>
  <c r="C4" i="1"/>
</calcChain>
</file>

<file path=xl/sharedStrings.xml><?xml version="1.0" encoding="utf-8"?>
<sst xmlns="http://schemas.openxmlformats.org/spreadsheetml/2006/main" count="38" uniqueCount="24">
  <si>
    <t>21P-601 Post-Go-Live Submission Tracker</t>
  </si>
  <si>
    <t>Expected annual submissions</t>
  </si>
  <si>
    <t>Canary</t>
  </si>
  <si>
    <t>Total submissions</t>
  </si>
  <si>
    <t>Number of Incomplete/Errors</t>
  </si>
  <si>
    <t>UUID</t>
  </si>
  <si>
    <t>Lighthouse status</t>
  </si>
  <si>
    <t>Lighthouse updated at</t>
  </si>
  <si>
    <t>CMP status</t>
  </si>
  <si>
    <t>CMP updated at</t>
  </si>
  <si>
    <t>Packet ID</t>
  </si>
  <si>
    <t>81f7b465-f244-4536-a576-de02f48efd74</t>
  </si>
  <si>
    <t>success</t>
  </si>
  <si>
    <t>In Portal</t>
  </si>
  <si>
    <t>d9dfbc33-5892-45f3-a703-1fdb3654decc</t>
  </si>
  <si>
    <t>vbms</t>
  </si>
  <si>
    <t>Complete</t>
  </si>
  <si>
    <t>60a645f2-5f7d-4ad8-af92-e10788906903</t>
  </si>
  <si>
    <t>e9dcb7b2-52e1-419c-9a0c-1815d499e2de</t>
  </si>
  <si>
    <t>d1563d68-e50e-4468-8815-fea45fe32e7f</t>
  </si>
  <si>
    <t>d16932cd-60f9-4e52-9caa-193c7c9028b5</t>
  </si>
  <si>
    <t>94dbe2ab-3dbb-43ae-9b11-5ee25c8fbc92</t>
  </si>
  <si>
    <t>9aa5fbad-1fe1-4487-a6e1-54c42bc5ad93</t>
  </si>
  <si>
    <t>8caa0ca1-4388-4659-8452-aaa88f528a64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</si>
</sst>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8"/>
      <color rgb="FF0E2841"/>
      <name val="Play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rgb="FF0E2841"/>
      <name val="Aptos Narrow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45B0E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10" fontId="3" fillId="0" borderId="0" xfId="0" applyNumberFormat="1" applyFont="1"/>
    <xf numFmtId="0" fontId="4" fillId="0" borderId="1" xfId="0" applyFont="1" applyBorder="1"/>
    <xf numFmtId="0" fontId="5" fillId="0" borderId="0" xfId="0" applyFont="1"/>
    <xf numFmtId="14" fontId="2" fillId="0" borderId="0" xfId="0" applyNumberFormat="1" applyFont="1"/>
    <xf numFmtId="14" fontId="5" fillId="0" borderId="0" xfId="0" applyNumberFormat="1" applyFont="1"/>
    <xf numFmtId="14" fontId="3" fillId="0" borderId="0" xfId="0" applyNumberFormat="1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31" sqref="B31"/>
    </sheetView>
  </sheetViews>
  <sheetFormatPr defaultColWidth="12.5703125" defaultRowHeight="15" customHeight="1"/>
  <cols>
    <col min="1" max="1" width="40.140625" customWidth="1"/>
    <col min="2" max="2" width="17.28515625" customWidth="1"/>
    <col min="3" max="3" width="21.42578125" customWidth="1"/>
    <col min="4" max="4" width="11.140625" customWidth="1"/>
    <col min="5" max="5" width="15.28515625" customWidth="1"/>
    <col min="6" max="6" width="9.28515625" customWidth="1"/>
    <col min="7" max="26" width="8.5703125" customWidth="1"/>
  </cols>
  <sheetData>
    <row r="1" spans="1:7" ht="23.25">
      <c r="A1" s="1" t="s">
        <v>0</v>
      </c>
    </row>
    <row r="3" spans="1:7">
      <c r="A3" s="2" t="s">
        <v>1</v>
      </c>
      <c r="B3" s="2">
        <v>3790</v>
      </c>
      <c r="C3" s="3" t="s">
        <v>2</v>
      </c>
    </row>
    <row r="4" spans="1:7">
      <c r="A4" s="2" t="s">
        <v>3</v>
      </c>
      <c r="B4" s="2">
        <v>32</v>
      </c>
      <c r="C4" s="4">
        <f>B4/B3</f>
        <v>8.4432717678100261E-3</v>
      </c>
    </row>
    <row r="5" spans="1:7">
      <c r="A5" s="2" t="s">
        <v>4</v>
      </c>
      <c r="B5" s="2">
        <f>COUNTIF(D8:D100000,"&lt;&gt;Complete")-COUNTIF(D8:D100000,"")</f>
        <v>1</v>
      </c>
    </row>
    <row r="7" spans="1:7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</row>
    <row r="8" spans="1:7">
      <c r="A8" s="2" t="s">
        <v>11</v>
      </c>
      <c r="B8" s="6" t="s">
        <v>12</v>
      </c>
      <c r="C8" s="7">
        <v>46066</v>
      </c>
      <c r="D8" s="2" t="s">
        <v>13</v>
      </c>
      <c r="F8" s="2">
        <v>68952723</v>
      </c>
    </row>
    <row r="9" spans="1:7">
      <c r="A9" s="2" t="s">
        <v>14</v>
      </c>
      <c r="B9" s="2" t="s">
        <v>15</v>
      </c>
      <c r="C9" s="7">
        <v>46059</v>
      </c>
      <c r="D9" s="2" t="s">
        <v>16</v>
      </c>
      <c r="E9" s="8">
        <v>46062</v>
      </c>
      <c r="F9" s="2">
        <v>68744347</v>
      </c>
    </row>
    <row r="10" spans="1:7">
      <c r="A10" s="2" t="s">
        <v>17</v>
      </c>
      <c r="B10" s="2" t="s">
        <v>15</v>
      </c>
      <c r="C10" s="7">
        <v>46058</v>
      </c>
      <c r="D10" s="2" t="s">
        <v>16</v>
      </c>
      <c r="E10" s="8">
        <v>46059</v>
      </c>
      <c r="F10" s="2">
        <v>68701018</v>
      </c>
    </row>
    <row r="11" spans="1:7">
      <c r="A11" s="2" t="s">
        <v>18</v>
      </c>
      <c r="B11" s="2" t="s">
        <v>15</v>
      </c>
      <c r="C11" s="7">
        <v>46053</v>
      </c>
      <c r="D11" s="2" t="s">
        <v>16</v>
      </c>
      <c r="E11" s="8">
        <v>46056</v>
      </c>
      <c r="F11" s="2">
        <v>68525211</v>
      </c>
    </row>
    <row r="12" spans="1:7">
      <c r="A12" s="2" t="s">
        <v>19</v>
      </c>
      <c r="B12" s="2" t="s">
        <v>15</v>
      </c>
      <c r="C12" s="9">
        <v>46043</v>
      </c>
      <c r="D12" s="2" t="s">
        <v>16</v>
      </c>
      <c r="E12" s="9">
        <v>46043</v>
      </c>
      <c r="F12" s="2">
        <v>68094025</v>
      </c>
    </row>
    <row r="13" spans="1:7">
      <c r="A13" s="10" t="s">
        <v>20</v>
      </c>
      <c r="B13" s="2" t="s">
        <v>15</v>
      </c>
      <c r="C13" s="9">
        <v>46043</v>
      </c>
      <c r="D13" s="10" t="s">
        <v>16</v>
      </c>
      <c r="E13" s="9">
        <v>46043</v>
      </c>
      <c r="F13" s="2">
        <v>68093288</v>
      </c>
      <c r="G13" s="7"/>
    </row>
    <row r="14" spans="1:7">
      <c r="A14" s="10" t="s">
        <v>21</v>
      </c>
      <c r="B14" s="2" t="s">
        <v>15</v>
      </c>
      <c r="C14" s="9">
        <v>46038</v>
      </c>
      <c r="D14" s="2" t="s">
        <v>16</v>
      </c>
      <c r="E14" s="9">
        <v>46038</v>
      </c>
      <c r="F14" s="2">
        <v>68041488</v>
      </c>
      <c r="G14" s="7"/>
    </row>
    <row r="15" spans="1:7">
      <c r="A15" s="10" t="s">
        <v>22</v>
      </c>
      <c r="B15" s="2" t="s">
        <v>15</v>
      </c>
      <c r="C15" s="9">
        <v>46037</v>
      </c>
      <c r="D15" s="2" t="s">
        <v>16</v>
      </c>
      <c r="E15" s="9">
        <v>46037</v>
      </c>
      <c r="F15" s="2">
        <v>68001200</v>
      </c>
      <c r="G15" s="7"/>
    </row>
    <row r="16" spans="1:7">
      <c r="A16" s="10" t="s">
        <v>23</v>
      </c>
      <c r="B16" s="2" t="s">
        <v>15</v>
      </c>
      <c r="C16" s="9">
        <v>46035</v>
      </c>
      <c r="D16" s="2" t="s">
        <v>16</v>
      </c>
      <c r="E16" s="9">
        <v>46035</v>
      </c>
      <c r="F16" s="2">
        <v>67787787</v>
      </c>
      <c r="G16" s="7"/>
    </row>
    <row r="17" spans="3:5">
      <c r="C17" s="9"/>
      <c r="E17" s="9"/>
    </row>
    <row r="18" spans="3:5">
      <c r="C18" s="9"/>
      <c r="E18" s="9"/>
    </row>
    <row r="19" spans="3:5">
      <c r="C19" s="9"/>
      <c r="E19" s="9"/>
    </row>
    <row r="20" spans="3:5">
      <c r="C20" s="9"/>
      <c r="E20" s="9"/>
    </row>
    <row r="21" spans="3:5" ht="15.75" customHeight="1">
      <c r="C21" s="9"/>
      <c r="E21" s="9"/>
    </row>
    <row r="22" spans="3:5" ht="15.75" customHeight="1">
      <c r="C22" s="9"/>
      <c r="E22" s="9"/>
    </row>
    <row r="23" spans="3:5" ht="15.75" customHeight="1">
      <c r="C23" s="9"/>
      <c r="E23" s="9"/>
    </row>
    <row r="24" spans="3:5" ht="15.75" customHeight="1">
      <c r="C24" s="9"/>
      <c r="E24" s="9"/>
    </row>
    <row r="25" spans="3:5" ht="15.75" customHeight="1">
      <c r="C25" s="9"/>
      <c r="E25" s="9"/>
    </row>
    <row r="26" spans="3:5" ht="15.75" customHeight="1">
      <c r="C26" s="9"/>
      <c r="E26" s="9"/>
    </row>
    <row r="27" spans="3:5" ht="15.75" customHeight="1">
      <c r="C27" s="9"/>
      <c r="E27" s="9"/>
    </row>
    <row r="28" spans="3:5" ht="15.75" customHeight="1">
      <c r="C28" s="9"/>
      <c r="E28" s="9"/>
    </row>
    <row r="29" spans="3:5" ht="15.75" customHeight="1">
      <c r="C29" s="9"/>
      <c r="E29" s="9"/>
    </row>
    <row r="30" spans="3:5" ht="15.75" customHeight="1">
      <c r="C30" s="9"/>
      <c r="E30" s="9"/>
    </row>
    <row r="31" spans="3:5" ht="15.75" customHeight="1">
      <c r="C31" s="9"/>
      <c r="E31" s="9"/>
    </row>
    <row r="32" spans="3:5" ht="15.75" customHeight="1">
      <c r="C32" s="9"/>
      <c r="E32" s="9"/>
    </row>
    <row r="33" spans="3:5" ht="15.75" customHeight="1">
      <c r="C33" s="9"/>
      <c r="E33" s="9"/>
    </row>
    <row r="34" spans="3:5" ht="15.75" customHeight="1">
      <c r="C34" s="9"/>
      <c r="E34" s="9"/>
    </row>
    <row r="35" spans="3:5" ht="15.75" customHeight="1">
      <c r="C35" s="9"/>
      <c r="E35" s="9"/>
    </row>
    <row r="36" spans="3:5" ht="15.75" customHeight="1">
      <c r="C36" s="9"/>
      <c r="E36" s="9"/>
    </row>
    <row r="37" spans="3:5" ht="15.75" customHeight="1">
      <c r="C37" s="9"/>
      <c r="E37" s="9"/>
    </row>
    <row r="38" spans="3:5" ht="15.75" customHeight="1">
      <c r="C38" s="9"/>
      <c r="E38" s="9"/>
    </row>
    <row r="39" spans="3:5" ht="15.75" customHeight="1">
      <c r="C39" s="9"/>
      <c r="E39" s="9"/>
    </row>
    <row r="40" spans="3:5" ht="15.75" customHeight="1">
      <c r="C40" s="9"/>
      <c r="E40" s="9"/>
    </row>
    <row r="41" spans="3:5" ht="15.75" customHeight="1">
      <c r="C41" s="9"/>
      <c r="E41" s="9"/>
    </row>
    <row r="42" spans="3:5" ht="15.75" customHeight="1"/>
    <row r="43" spans="3:5" ht="15.75" customHeight="1"/>
    <row r="44" spans="3:5" ht="15.75" customHeight="1"/>
    <row r="45" spans="3:5" ht="15.75" customHeight="1"/>
    <row r="46" spans="3:5" ht="15.75" customHeight="1"/>
    <row r="47" spans="3:5" ht="15.75" customHeight="1"/>
    <row r="48" spans="3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21P-601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Jones</cp:lastModifiedBy>
  <dcterms:created xsi:type="dcterms:W3CDTF">2026-01-22T17:07:39Z</dcterms:created>
  <dcterms:modified xsi:type="dcterms:W3CDTF">2026-04-03T15:04:18Z</dcterms:modified>
</cp:coreProperties>
</file>