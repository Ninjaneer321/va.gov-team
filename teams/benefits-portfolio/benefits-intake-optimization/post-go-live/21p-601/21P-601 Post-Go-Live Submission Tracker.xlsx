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1P-601" sheetId="1" r:id="rId4"/>
  </sheets>
  <definedNames/>
  <calcPr/>
  <extLst>
    <ext uri="GoogleSheetsCustomDataVersion2">
      <go:sheetsCustomData xmlns:go="http://customooxmlschemas.google.com/" r:id="rId5" roundtripDataChecksum="5lxnqwu+06XqmNBA4QGxkuZYA9q46Pmc5Z6q5IUZj3Y="/>
    </ext>
  </extLst>
</workbook>
</file>

<file path=xl/sharedStrings.xml><?xml version="1.0" encoding="utf-8"?>
<sst xmlns="http://schemas.openxmlformats.org/spreadsheetml/2006/main" count="38" uniqueCount="24">
  <si>
    <t>21P-601 Post-Go-Live Submission Tracker</t>
  </si>
  <si>
    <t>Expected annual submissions</t>
  </si>
  <si>
    <t>Canary</t>
  </si>
  <si>
    <t>Total submissions</t>
  </si>
  <si>
    <t>Number of Incomplete/Errors</t>
  </si>
  <si>
    <t>UUID</t>
  </si>
  <si>
    <t>Lighthouse status</t>
  </si>
  <si>
    <t>Lighthouse updated at</t>
  </si>
  <si>
    <t>CMP status</t>
  </si>
  <si>
    <t>CMP updated at</t>
  </si>
  <si>
    <t>Packet ID</t>
  </si>
  <si>
    <t>81f7b465-f244-4536-a576-de02f48efd74</t>
  </si>
  <si>
    <t>success</t>
  </si>
  <si>
    <t>In Portal</t>
  </si>
  <si>
    <t>d9dfbc33-5892-45f3-a703-1fdb3654decc</t>
  </si>
  <si>
    <t>vbms</t>
  </si>
  <si>
    <t>Complete</t>
  </si>
  <si>
    <t>60a645f2-5f7d-4ad8-af92-e10788906903</t>
  </si>
  <si>
    <t>e9dcb7b2-52e1-419c-9a0c-1815d499e2de</t>
  </si>
  <si>
    <t>d1563d68-e50e-4468-8815-fea45fe32e7f</t>
  </si>
  <si>
    <t>d16932cd-60f9-4e52-9caa-193c7c9028b5</t>
  </si>
  <si>
    <t>94dbe2ab-3dbb-43ae-9b11-5ee25c8fbc92</t>
  </si>
  <si>
    <t>9aa5fbad-1fe1-4487-a6e1-54c42bc5ad93</t>
  </si>
  <si>
    <t>8caa0ca1-4388-4659-8452-aaa88f528a64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</si>
</sst>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/d/yyyy"/>
  </numFmts>
  <fonts count="6">
    <font>
      <sz val="11.0"/>
      <color theme="1"/>
      <name val="Aptos Narrow"/>
      <scheme val="minor"/>
    </font>
    <font>
      <sz val="18.0"/>
      <color rgb="FF0E2841"/>
      <name val="Play"/>
    </font>
    <font>
      <color theme="1"/>
      <name val="Aptos Narrow"/>
      <scheme val="minor"/>
    </font>
    <font>
      <sz val="11.0"/>
      <color theme="1"/>
      <name val="Aptos Narrow"/>
    </font>
    <font>
      <b/>
      <sz val="11.0"/>
      <color rgb="FF0E2841"/>
      <name val="Aptos Narrow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3">
    <border/>
    <border>
      <bottom style="medium">
        <color rgb="FF45B0E1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right"/>
    </xf>
    <xf borderId="0" fillId="0" fontId="3" numFmtId="10" xfId="0" applyFont="1" applyNumberFormat="1"/>
    <xf borderId="1" fillId="0" fontId="4" numFmtId="0" xfId="0" applyBorder="1" applyFont="1"/>
    <xf borderId="0" fillId="0" fontId="2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2" numFmtId="164" xfId="0" applyFont="1" applyNumberFormat="1"/>
    <xf borderId="0" fillId="0" fontId="5" numFmtId="165" xfId="0" applyAlignment="1" applyFont="1" applyNumberFormat="1">
      <alignment readingOrder="0"/>
    </xf>
    <xf borderId="0" fillId="0" fontId="3" numFmtId="14" xfId="0" applyFont="1" applyNumberFormat="1"/>
    <xf borderId="2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0.13"/>
    <col customWidth="1" min="2" max="2" width="17.25"/>
    <col customWidth="1" min="3" max="3" width="21.38"/>
    <col customWidth="1" min="4" max="4" width="11.13"/>
    <col customWidth="1" min="5" max="5" width="15.25"/>
    <col customWidth="1" min="6" max="6" width="9.25"/>
    <col customWidth="1" min="7" max="26" width="8.63"/>
  </cols>
  <sheetData>
    <row r="1">
      <c r="A1" s="1" t="s">
        <v>0</v>
      </c>
    </row>
    <row r="3">
      <c r="A3" s="2" t="s">
        <v>1</v>
      </c>
      <c r="B3" s="2">
        <v>3790.0</v>
      </c>
      <c r="C3" s="3" t="s">
        <v>2</v>
      </c>
    </row>
    <row r="4">
      <c r="A4" s="2" t="s">
        <v>3</v>
      </c>
      <c r="B4" s="2">
        <f>COUNTIF(A8:A100000,"&lt;&gt;")</f>
        <v>9</v>
      </c>
      <c r="C4" s="4">
        <f>B4/B3</f>
        <v>0.002374670185</v>
      </c>
    </row>
    <row r="5">
      <c r="A5" s="2" t="s">
        <v>4</v>
      </c>
      <c r="B5" s="2">
        <f>COUNTIF(D8:D100000,"&lt;&gt;Complete")-COUNTIF(D8:D100000,"")</f>
        <v>1</v>
      </c>
    </row>
    <row r="7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>
      <c r="A8" s="6" t="s">
        <v>11</v>
      </c>
      <c r="B8" s="7" t="s">
        <v>12</v>
      </c>
      <c r="C8" s="8">
        <v>46066.0</v>
      </c>
      <c r="D8" s="6" t="s">
        <v>13</v>
      </c>
      <c r="F8" s="6">
        <v>6.8952723E7</v>
      </c>
    </row>
    <row r="9">
      <c r="A9" s="6" t="s">
        <v>14</v>
      </c>
      <c r="B9" s="2" t="s">
        <v>15</v>
      </c>
      <c r="C9" s="8">
        <v>46059.0</v>
      </c>
      <c r="D9" s="2" t="s">
        <v>16</v>
      </c>
      <c r="E9" s="9">
        <v>46062.0</v>
      </c>
      <c r="F9" s="6">
        <v>6.8744347E7</v>
      </c>
    </row>
    <row r="10">
      <c r="A10" s="6" t="s">
        <v>17</v>
      </c>
      <c r="B10" s="2" t="s">
        <v>15</v>
      </c>
      <c r="C10" s="8">
        <v>46058.0</v>
      </c>
      <c r="D10" s="2" t="s">
        <v>16</v>
      </c>
      <c r="E10" s="9">
        <v>46059.0</v>
      </c>
      <c r="F10" s="6">
        <v>6.8701018E7</v>
      </c>
    </row>
    <row r="11">
      <c r="A11" s="6" t="s">
        <v>18</v>
      </c>
      <c r="B11" s="2" t="s">
        <v>15</v>
      </c>
      <c r="C11" s="8">
        <v>46053.0</v>
      </c>
      <c r="D11" s="2" t="s">
        <v>16</v>
      </c>
      <c r="E11" s="9">
        <v>46056.0</v>
      </c>
      <c r="F11" s="6">
        <v>6.8525211E7</v>
      </c>
    </row>
    <row r="12">
      <c r="A12" s="2" t="s">
        <v>19</v>
      </c>
      <c r="B12" s="2" t="s">
        <v>15</v>
      </c>
      <c r="C12" s="10">
        <v>46043.0</v>
      </c>
      <c r="D12" s="2" t="s">
        <v>16</v>
      </c>
      <c r="E12" s="10">
        <v>46043.0</v>
      </c>
      <c r="F12" s="2">
        <v>6.8094025E7</v>
      </c>
    </row>
    <row r="13">
      <c r="A13" s="11" t="s">
        <v>20</v>
      </c>
      <c r="B13" s="2" t="s">
        <v>15</v>
      </c>
      <c r="C13" s="10">
        <v>46043.0</v>
      </c>
      <c r="D13" s="11" t="s">
        <v>16</v>
      </c>
      <c r="E13" s="10">
        <v>46043.0</v>
      </c>
      <c r="F13" s="2">
        <v>6.8093288E7</v>
      </c>
      <c r="G13" s="8"/>
    </row>
    <row r="14">
      <c r="A14" s="11" t="s">
        <v>21</v>
      </c>
      <c r="B14" s="2" t="s">
        <v>15</v>
      </c>
      <c r="C14" s="10">
        <v>46038.0</v>
      </c>
      <c r="D14" s="2" t="s">
        <v>16</v>
      </c>
      <c r="E14" s="10">
        <v>46038.0</v>
      </c>
      <c r="F14" s="2">
        <v>6.8041488E7</v>
      </c>
      <c r="G14" s="8"/>
    </row>
    <row r="15">
      <c r="A15" s="11" t="s">
        <v>22</v>
      </c>
      <c r="B15" s="2" t="s">
        <v>15</v>
      </c>
      <c r="C15" s="10">
        <v>46037.0</v>
      </c>
      <c r="D15" s="2" t="s">
        <v>16</v>
      </c>
      <c r="E15" s="10">
        <v>46037.0</v>
      </c>
      <c r="F15" s="2">
        <v>6.80012E7</v>
      </c>
      <c r="G15" s="8"/>
    </row>
    <row r="16">
      <c r="A16" s="11" t="s">
        <v>23</v>
      </c>
      <c r="B16" s="2" t="s">
        <v>15</v>
      </c>
      <c r="C16" s="10">
        <v>46035.0</v>
      </c>
      <c r="D16" s="2" t="s">
        <v>16</v>
      </c>
      <c r="E16" s="10">
        <v>46035.0</v>
      </c>
      <c r="F16" s="2">
        <v>6.7787787E7</v>
      </c>
      <c r="G16" s="8"/>
    </row>
    <row r="17">
      <c r="C17" s="10"/>
      <c r="E17" s="10"/>
    </row>
    <row r="18">
      <c r="C18" s="10"/>
      <c r="E18" s="10"/>
    </row>
    <row r="19">
      <c r="C19" s="10"/>
      <c r="E19" s="10"/>
    </row>
    <row r="20">
      <c r="C20" s="10"/>
      <c r="E20" s="10"/>
    </row>
    <row r="21" ht="15.75" customHeight="1">
      <c r="C21" s="10"/>
      <c r="E21" s="10"/>
    </row>
    <row r="22" ht="15.75" customHeight="1">
      <c r="C22" s="10"/>
      <c r="E22" s="10"/>
    </row>
    <row r="23" ht="15.75" customHeight="1">
      <c r="C23" s="10"/>
      <c r="E23" s="10"/>
    </row>
    <row r="24" ht="15.75" customHeight="1">
      <c r="C24" s="10"/>
      <c r="E24" s="10"/>
    </row>
    <row r="25" ht="15.75" customHeight="1">
      <c r="C25" s="10"/>
      <c r="E25" s="10"/>
    </row>
    <row r="26" ht="15.75" customHeight="1">
      <c r="C26" s="10"/>
      <c r="E26" s="10"/>
    </row>
    <row r="27" ht="15.75" customHeight="1">
      <c r="C27" s="10"/>
      <c r="E27" s="10"/>
    </row>
    <row r="28" ht="15.75" customHeight="1">
      <c r="C28" s="10"/>
      <c r="E28" s="10"/>
    </row>
    <row r="29" ht="15.75" customHeight="1">
      <c r="C29" s="10"/>
      <c r="E29" s="10"/>
    </row>
    <row r="30" ht="15.75" customHeight="1">
      <c r="C30" s="10"/>
      <c r="E30" s="10"/>
    </row>
    <row r="31" ht="15.75" customHeight="1">
      <c r="C31" s="10"/>
      <c r="E31" s="10"/>
    </row>
    <row r="32" ht="15.75" customHeight="1">
      <c r="C32" s="10"/>
      <c r="E32" s="10"/>
    </row>
    <row r="33" ht="15.75" customHeight="1">
      <c r="C33" s="10"/>
      <c r="E33" s="10"/>
    </row>
    <row r="34" ht="15.75" customHeight="1">
      <c r="C34" s="10"/>
      <c r="E34" s="10"/>
    </row>
    <row r="35" ht="15.75" customHeight="1">
      <c r="C35" s="10"/>
      <c r="E35" s="10"/>
    </row>
    <row r="36" ht="15.75" customHeight="1">
      <c r="C36" s="10"/>
      <c r="E36" s="10"/>
    </row>
    <row r="37" ht="15.75" customHeight="1">
      <c r="C37" s="10"/>
      <c r="E37" s="10"/>
    </row>
    <row r="38" ht="15.75" customHeight="1">
      <c r="C38" s="10"/>
      <c r="E38" s="10"/>
    </row>
    <row r="39" ht="15.75" customHeight="1">
      <c r="C39" s="10"/>
      <c r="E39" s="10"/>
    </row>
    <row r="40" ht="15.75" customHeight="1">
      <c r="C40" s="10"/>
      <c r="E40" s="10"/>
    </row>
    <row r="41" ht="15.75" customHeight="1">
      <c r="C41" s="10"/>
      <c r="E41" s="10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2026-01-22T17:07:39Z</dcterms:created>
</cp:coreProperties>
</file>